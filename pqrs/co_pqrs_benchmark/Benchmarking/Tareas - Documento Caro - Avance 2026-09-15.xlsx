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vance por control" sheetId="2" state="visible" r:id="rId2"/>
    <sheet name="Pendientes" sheetId="3" state="visible" r:id="rId3"/>
    <sheet name="Metodología" sheetId="4" state="visible" r:id="rId4"/>
  </sheets>
  <definedNames>
    <definedName name="_xlnm._FilterDatabase" localSheetId="1" hidden="1">'Avance por control'!$A$1:$Q$29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1464A5"/>
      <u val="single"/>
    </font>
    <font>
      <b val="1"/>
      <color rgb="00072146"/>
      <sz val="16"/>
    </font>
    <font>
      <i val="1"/>
      <color rgb="004A5A74"/>
    </font>
    <font>
      <color rgb="004A5A74"/>
    </font>
    <font>
      <b val="1"/>
    </font>
    <font>
      <b val="1"/>
      <color rgb="00072146"/>
      <sz val="12"/>
    </font>
  </fonts>
  <fills count="4">
    <fill>
      <patternFill/>
    </fill>
    <fill>
      <patternFill patternType="gray125"/>
    </fill>
    <fill>
      <patternFill patternType="solid">
        <fgColor rgb="00072146"/>
      </patternFill>
    </fill>
    <fill>
      <patternFill patternType="solid">
        <fgColor rgb="001464A5"/>
      </patternFill>
    </fill>
  </fills>
  <borders count="2">
    <border>
      <left/>
      <right/>
      <top/>
      <bottom/>
      <diagonal/>
    </border>
    <border>
      <left style="thin">
        <color rgb="00D3D8E2"/>
      </left>
      <right style="thin">
        <color rgb="00D3D8E2"/>
      </right>
      <top style="thin">
        <color rgb="00D3D8E2"/>
      </top>
      <bottom style="thin">
        <color rgb="00D3D8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9" fontId="6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B7E1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Avance promedio por control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'Resumen'!D5</f>
            </strRef>
          </tx>
          <spPr>
            <a:ln>
              <a:prstDash val="solid"/>
            </a:ln>
          </spPr>
          <dLbls>
            <numFmt formatCode="0%"/>
            <showLegendKey val="0"/>
            <showVal val="1"/>
            <showCatName val="0"/>
            <showSerName val="0"/>
            <showPercent val="0"/>
          </dLbls>
          <cat>
            <numRef>
              <f>'Resumen'!$A$6:$A$9</f>
            </numRef>
          </cat>
          <val>
            <numRef>
              <f>'Resumen'!$D$6:$D$9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avance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docs.google.com/document/d/1F7xEwBPmE_ZHYrYa3LK4WtYa6mQhkE6e4Nal-XMer0o/edit?tab=t.0" TargetMode="External" Id="rId1" /><Relationship Type="http://schemas.openxmlformats.org/officeDocument/2006/relationships/hyperlink" Target="https://docs.google.com/document/d/11sx6sc82JW1iBOP7OxVwdMhqkDVxkRM729bNIsVf138/edit?tab=t.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2" customWidth="1" min="3" max="3"/>
    <col width="15" customWidth="1" min="4" max="4"/>
    <col width="17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Avance KYNS IT · Agente PQRS (SDA 53781)</t>
        </is>
      </c>
    </row>
    <row r="2">
      <c r="A2" s="2" t="inlineStr">
        <is>
          <t>Corte: 15/09/2026 · Fuente: Tareas · Documento Caro (RCS) · Rama feature/PQRSdev = feature/PQRSllmops (4aa1a2b)</t>
        </is>
      </c>
    </row>
    <row r="3">
      <c r="A3" s="3" t="inlineStr">
        <is>
          <t>Avance = 50 % construido + 30 % evidencia + 20 % aprobación, por control (hoja Metodología). Ningún control está aprobado todavía: el techo actual es 80 %.</t>
        </is>
      </c>
    </row>
    <row r="5">
      <c r="A5" s="4" t="inlineStr">
        <is>
          <t>Control</t>
        </is>
      </c>
      <c r="B5" s="4" t="inlineStr">
        <is>
          <t>Controles</t>
        </is>
      </c>
      <c r="C5" s="4" t="inlineStr">
        <is>
          <t>Bloqueantes</t>
        </is>
      </c>
      <c r="D5" s="4" t="inlineStr">
        <is>
          <t>Avance promedio</t>
        </is>
      </c>
      <c r="E5" s="4" t="inlineStr">
        <is>
          <t>Avance bloqueantes</t>
        </is>
      </c>
      <c r="F5" s="4" t="inlineStr">
        <is>
          <t>Cerrados</t>
        </is>
      </c>
      <c r="G5" s="4" t="inlineStr">
        <is>
          <t>Avanzados</t>
        </is>
      </c>
      <c r="H5" s="4" t="inlineStr">
        <is>
          <t>En curso</t>
        </is>
      </c>
      <c r="I5" s="4" t="inlineStr">
        <is>
          <t>Pendientes</t>
        </is>
      </c>
    </row>
    <row r="6" ht="32" customHeight="1">
      <c r="A6" s="5" t="inlineStr">
        <is>
          <t>Pruebas adversariales y evaluación del sistema IA</t>
        </is>
      </c>
      <c r="B6" s="6">
        <f>COUNTIF('Avance por control'!$B$2:$B$29,A6)</f>
        <v/>
      </c>
      <c r="C6" s="6">
        <f>COUNTIFS('Avance por control'!$B$2:$B$29,A6,'Avance por control'!$E$2:$E$29,"Bloqueante")</f>
        <v/>
      </c>
      <c r="D6" s="7">
        <f>AVERAGEIF('Avance por control'!$B$2:$B$29,A6,'Avance por control'!$K$2:$K$29)</f>
        <v/>
      </c>
      <c r="E6" s="7">
        <f>IFERROR(AVERAGEIFS('Avance por control'!$K$2:$K$29,'Avance por control'!$B$2:$B$29,A6,'Avance por control'!$E$2:$E$29,"Bloqueante"),"—")</f>
        <v/>
      </c>
      <c r="F6" s="6">
        <f>COUNTIFS('Avance por control'!$B$2:$B$29,A6,'Avance por control'!$L$2:$L$29,"Cerrado")</f>
        <v/>
      </c>
      <c r="G6" s="6">
        <f>COUNTIFS('Avance por control'!$B$2:$B$29,A6,'Avance por control'!$L$2:$L$29,"Avanzado")</f>
        <v/>
      </c>
      <c r="H6" s="6">
        <f>COUNTIFS('Avance por control'!$B$2:$B$29,A6,'Avance por control'!$L$2:$L$29,"En curso")</f>
        <v/>
      </c>
      <c r="I6" s="6">
        <f>COUNTIFS('Avance por control'!$B$2:$B$29,A6,'Avance por control'!$L$2:$L$29,"Pendiente")</f>
        <v/>
      </c>
    </row>
    <row r="7" ht="32" customHeight="1">
      <c r="A7" s="5" t="inlineStr">
        <is>
          <t>Monitoreo, mantenimiento y gobierno de modelos</t>
        </is>
      </c>
      <c r="B7" s="6">
        <f>COUNTIF('Avance por control'!$B$2:$B$29,A7)</f>
        <v/>
      </c>
      <c r="C7" s="6">
        <f>COUNTIFS('Avance por control'!$B$2:$B$29,A7,'Avance por control'!$E$2:$E$29,"Bloqueante")</f>
        <v/>
      </c>
      <c r="D7" s="7">
        <f>AVERAGEIF('Avance por control'!$B$2:$B$29,A7,'Avance por control'!$K$2:$K$29)</f>
        <v/>
      </c>
      <c r="E7" s="7">
        <f>IFERROR(AVERAGEIFS('Avance por control'!$K$2:$K$29,'Avance por control'!$B$2:$B$29,A7,'Avance por control'!$E$2:$E$29,"Bloqueante"),"—")</f>
        <v/>
      </c>
      <c r="F7" s="6">
        <f>COUNTIFS('Avance por control'!$B$2:$B$29,A7,'Avance por control'!$L$2:$L$29,"Cerrado")</f>
        <v/>
      </c>
      <c r="G7" s="6">
        <f>COUNTIFS('Avance por control'!$B$2:$B$29,A7,'Avance por control'!$L$2:$L$29,"Avanzado")</f>
        <v/>
      </c>
      <c r="H7" s="6">
        <f>COUNTIFS('Avance por control'!$B$2:$B$29,A7,'Avance por control'!$L$2:$L$29,"En curso")</f>
        <v/>
      </c>
      <c r="I7" s="6">
        <f>COUNTIFS('Avance por control'!$B$2:$B$29,A7,'Avance por control'!$L$2:$L$29,"Pendiente")</f>
        <v/>
      </c>
    </row>
    <row r="8" ht="32" customHeight="1">
      <c r="A8" s="5" t="inlineStr">
        <is>
          <t>Protección y aislamiento de datos IA</t>
        </is>
      </c>
      <c r="B8" s="6">
        <f>COUNTIF('Avance por control'!$B$2:$B$29,A8)</f>
        <v/>
      </c>
      <c r="C8" s="6">
        <f>COUNTIFS('Avance por control'!$B$2:$B$29,A8,'Avance por control'!$E$2:$E$29,"Bloqueante")</f>
        <v/>
      </c>
      <c r="D8" s="7">
        <f>AVERAGEIF('Avance por control'!$B$2:$B$29,A8,'Avance por control'!$K$2:$K$29)</f>
        <v/>
      </c>
      <c r="E8" s="7">
        <f>IFERROR(AVERAGEIFS('Avance por control'!$K$2:$K$29,'Avance por control'!$B$2:$B$29,A8,'Avance por control'!$E$2:$E$29,"Bloqueante"),"—")</f>
        <v/>
      </c>
      <c r="F8" s="6">
        <f>COUNTIFS('Avance por control'!$B$2:$B$29,A8,'Avance por control'!$L$2:$L$29,"Cerrado")</f>
        <v/>
      </c>
      <c r="G8" s="6">
        <f>COUNTIFS('Avance por control'!$B$2:$B$29,A8,'Avance por control'!$L$2:$L$29,"Avanzado")</f>
        <v/>
      </c>
      <c r="H8" s="6">
        <f>COUNTIFS('Avance por control'!$B$2:$B$29,A8,'Avance por control'!$L$2:$L$29,"En curso")</f>
        <v/>
      </c>
      <c r="I8" s="6">
        <f>COUNTIFS('Avance por control'!$B$2:$B$29,A8,'Avance por control'!$L$2:$L$29,"Pendiente")</f>
        <v/>
      </c>
    </row>
    <row r="9" ht="32" customHeight="1">
      <c r="A9" s="5" t="inlineStr">
        <is>
          <t>Restricción de autonomía e integridad financiera</t>
        </is>
      </c>
      <c r="B9" s="6">
        <f>COUNTIF('Avance por control'!$B$2:$B$29,A9)</f>
        <v/>
      </c>
      <c r="C9" s="6">
        <f>COUNTIFS('Avance por control'!$B$2:$B$29,A9,'Avance por control'!$E$2:$E$29,"Bloqueante")</f>
        <v/>
      </c>
      <c r="D9" s="7">
        <f>AVERAGEIF('Avance por control'!$B$2:$B$29,A9,'Avance por control'!$K$2:$K$29)</f>
        <v/>
      </c>
      <c r="E9" s="7">
        <f>IFERROR(AVERAGEIFS('Avance por control'!$K$2:$K$29,'Avance por control'!$B$2:$B$29,A9,'Avance por control'!$E$2:$E$29,"Bloqueante"),"—")</f>
        <v/>
      </c>
      <c r="F9" s="6">
        <f>COUNTIFS('Avance por control'!$B$2:$B$29,A9,'Avance por control'!$L$2:$L$29,"Cerrado")</f>
        <v/>
      </c>
      <c r="G9" s="6">
        <f>COUNTIFS('Avance por control'!$B$2:$B$29,A9,'Avance por control'!$L$2:$L$29,"Avanzado")</f>
        <v/>
      </c>
      <c r="H9" s="6">
        <f>COUNTIFS('Avance por control'!$B$2:$B$29,A9,'Avance por control'!$L$2:$L$29,"En curso")</f>
        <v/>
      </c>
      <c r="I9" s="6">
        <f>COUNTIFS('Avance por control'!$B$2:$B$29,A9,'Avance por control'!$L$2:$L$29,"Pendiente")</f>
        <v/>
      </c>
    </row>
    <row r="10">
      <c r="A10" s="8" t="inlineStr">
        <is>
          <t>Total (28 controles)</t>
        </is>
      </c>
      <c r="B10" s="9">
        <f>SUM(B6:B9)</f>
        <v/>
      </c>
      <c r="C10" s="9">
        <f>SUM(C6:C9)</f>
        <v/>
      </c>
      <c r="D10" s="10">
        <f>AVERAGE('Avance por control'!$K$2:$K$29)</f>
        <v/>
      </c>
      <c r="E10" s="10">
        <f>AVERAGEIF('Avance por control'!$E$2:$E$29,"Bloqueante",'Avance por control'!$K$2:$K$29)</f>
        <v/>
      </c>
      <c r="F10" s="9">
        <f>SUM(F6:F9)</f>
        <v/>
      </c>
      <c r="G10" s="9">
        <f>SUM(G6:G9)</f>
        <v/>
      </c>
      <c r="H10" s="9">
        <f>SUM(H6:H9)</f>
        <v/>
      </c>
      <c r="I10" s="9">
        <f>SUM(I6:I9)</f>
        <v/>
      </c>
    </row>
    <row r="11">
      <c r="A11" s="8" t="inlineStr">
        <is>
          <t>Bloqueantes del Equipo Data (19)</t>
        </is>
      </c>
      <c r="B11" s="9">
        <f>COUNTIFS('Avance por control'!$E$2:$E$29,"Bloqueante",'Avance por control'!$F$2:$F$29,"Equipo Data")</f>
        <v/>
      </c>
      <c r="C11" s="9" t="inlineStr"/>
      <c r="D11" s="10" t="inlineStr"/>
      <c r="E11" s="10">
        <f>AVERAGEIFS('Avance por control'!$K$2:$K$29,'Avance por control'!$E$2:$E$29,"Bloqueante",'Avance por control'!$F$2:$F$29,"Equipo Data")</f>
        <v/>
      </c>
      <c r="F11" s="9" t="inlineStr"/>
      <c r="G11" s="9" t="inlineStr"/>
      <c r="H11" s="9" t="inlineStr"/>
      <c r="I11" s="9" t="inlineStr"/>
    </row>
  </sheetData>
  <conditionalFormatting sqref="D6:E11">
    <cfRule type="colorScale" priority="1">
      <colorScale>
        <cfvo type="num" val="0"/>
        <cfvo type="num" val="0.5"/>
        <cfvo type="num" val="1"/>
        <color rgb="00F4C7C3"/>
        <color rgb="00FCE8B2"/>
        <color rgb="00B7E1CD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52" customWidth="1" min="4" max="4"/>
    <col width="13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48" customWidth="1" min="13" max="13"/>
    <col width="18" customWidth="1" min="14" max="14"/>
    <col width="44" customWidth="1" min="15" max="15"/>
    <col width="18" customWidth="1" min="16" max="16"/>
    <col width="32" customWidth="1" min="17" max="17"/>
  </cols>
  <sheetData>
    <row r="1" ht="34" customHeight="1">
      <c r="A1" s="4" t="inlineStr">
        <is>
          <t>ID</t>
        </is>
      </c>
      <c r="B1" s="4" t="inlineStr">
        <is>
          <t>Nombre del control</t>
        </is>
      </c>
      <c r="C1" s="4" t="inlineStr">
        <is>
          <t>Objetivo / Dominio</t>
        </is>
      </c>
      <c r="D1" s="4" t="inlineStr">
        <is>
          <t>Tarea / Evidencia requerida</t>
        </is>
      </c>
      <c r="E1" s="4" t="inlineStr">
        <is>
          <t>Clasificación</t>
        </is>
      </c>
      <c r="F1" s="4" t="inlineStr">
        <is>
          <t>Reponsable</t>
        </is>
      </c>
      <c r="G1" s="4" t="inlineStr">
        <is>
          <t>Enlace</t>
        </is>
      </c>
      <c r="H1" s="11" t="inlineStr">
        <is>
          <t>Construido (50 %)</t>
        </is>
      </c>
      <c r="I1" s="11" t="inlineStr">
        <is>
          <t>Evidencia (30 %)</t>
        </is>
      </c>
      <c r="J1" s="11" t="inlineStr">
        <is>
          <t>Aprobación (20 %)</t>
        </is>
      </c>
      <c r="K1" s="11" t="inlineStr">
        <is>
          <t>% avance</t>
        </is>
      </c>
      <c r="L1" s="11" t="inlineStr">
        <is>
          <t>Estado</t>
        </is>
      </c>
      <c r="M1" s="11" t="inlineStr">
        <is>
          <t>Qué tenemos</t>
        </is>
      </c>
      <c r="N1" s="11" t="inlineStr">
        <is>
          <t>Evidencias (guía de captura)</t>
        </is>
      </c>
      <c r="O1" s="11" t="inlineStr">
        <is>
          <t>Qué falta</t>
        </is>
      </c>
      <c r="P1" s="11" t="inlineStr">
        <is>
          <t>Responsable del pendiente</t>
        </is>
      </c>
      <c r="Q1" s="11" t="inlineStr">
        <is>
          <t>Documento de soporte</t>
        </is>
      </c>
    </row>
    <row r="2" ht="96" customHeight="1">
      <c r="A2" s="6" t="inlineStr">
        <is>
          <t>IT1.1</t>
        </is>
      </c>
      <c r="B2" s="5" t="inlineStr">
        <is>
          <t>Pruebas adversariales y evaluación del sistema IA</t>
        </is>
      </c>
      <c r="C2" s="5" t="inlineStr">
        <is>
          <t>Validación integral, seguridad y calidad de IA</t>
        </is>
      </c>
      <c r="D2" s="5" t="inlineStr">
        <is>
          <t>1. Plan y alcance de pruebas IA: documento aprobado identificando componentes/modelos evaluados, casos de uso, rutas críticas, dataset de evaluación, métricas, umbrales y criterios de aceptación.</t>
        </is>
      </c>
      <c r="E2" s="6" t="inlineStr">
        <is>
          <t>Bloqueante</t>
        </is>
      </c>
      <c r="F2" s="5" t="inlineStr">
        <is>
          <t>Equipo Data</t>
        </is>
      </c>
      <c r="G2" s="5" t="n"/>
      <c r="H2" s="6" t="inlineStr">
        <is>
          <t>Sí</t>
        </is>
      </c>
      <c r="I2" s="6" t="inlineStr">
        <is>
          <t>Sí</t>
        </is>
      </c>
      <c r="J2" s="6" t="inlineStr">
        <is>
          <t>No</t>
        </is>
      </c>
      <c r="K2" s="7">
        <f>0.5*IF(H2="Sí",1,IF(H2="Parcial",0.5,0))+0.3*IF(I2="Sí",1,IF(I2="Parcial",0.5,0))+0.2*IF(J2="Sí",1,IF(J2="Parcial",0.5,0))</f>
        <v/>
      </c>
      <c r="L2" s="6">
        <f>IF(K2&gt;=1,"Cerrado",IF(K2&gt;=0.65,"Avanzado",IF(K2&gt;=0.25,"En curso","Pendiente")))</f>
        <v/>
      </c>
      <c r="M2" s="5" t="inlineStr">
        <is>
          <t>Plan de pruebas IA con componentes, rutas críticas, 6 datasets, métricas, umbrales y criterios de aceptación; incluido en el informe técnico v1.0.0 en Drive.</t>
        </is>
      </c>
      <c r="N2" s="5" t="inlineStr">
        <is>
          <t>Informe técnico §1.1</t>
        </is>
      </c>
      <c r="O2" s="5" t="inlineStr">
        <is>
          <t>Firma del plan: los umbrales propuestos (90 % ruteo, 95 % adversarial) pasan a fijos; adoptar los criterios del Gobierno v3 (95 % correctas, 0 % críticos).</t>
        </is>
      </c>
      <c r="P2" s="5" t="inlineStr">
        <is>
          <t>Fabián y negocio</t>
        </is>
      </c>
      <c r="Q2" s="5" t="inlineStr">
        <is>
          <t>docs/PLAN_DE_PRUEBAS_IA.md</t>
        </is>
      </c>
    </row>
    <row r="3" ht="96" customHeight="1">
      <c r="A3" s="6" t="inlineStr">
        <is>
          <t>IT1.2</t>
        </is>
      </c>
      <c r="B3" s="5" t="inlineStr">
        <is>
          <t>Pruebas adversariales y evaluación del sistema IA</t>
        </is>
      </c>
      <c r="C3" s="5" t="inlineStr">
        <is>
          <t>Validación integral, seguridad y calidad de IA</t>
        </is>
      </c>
      <c r="D3" s="5" t="inlineStr">
        <is>
          <t>2. Evaluación funcional/calidad: resultados por intención/ruta, incluyendo precisión, falsos positivos/negativos, análisis de errores de clasificación y casos ambiguos/fuera de alcance; incluir específicamente TNR/doble cobro.</t>
        </is>
      </c>
      <c r="E3" s="6" t="inlineStr">
        <is>
          <t>Bloqueante</t>
        </is>
      </c>
      <c r="F3" s="5" t="inlineStr">
        <is>
          <t>Equipo Data</t>
        </is>
      </c>
      <c r="G3" s="5" t="inlineStr">
        <is>
          <t>docs/EVIDENCIAS_TNR_RCS.docx</t>
        </is>
      </c>
      <c r="H3" s="6" t="inlineStr">
        <is>
          <t>Sí</t>
        </is>
      </c>
      <c r="I3" s="6" t="inlineStr">
        <is>
          <t>Sí</t>
        </is>
      </c>
      <c r="J3" s="6" t="inlineStr">
        <is>
          <t>No</t>
        </is>
      </c>
      <c r="K3" s="7">
        <f>0.5*IF(H3="Sí",1,IF(H3="Parcial",0.5,0))+0.3*IF(I3="Sí",1,IF(I3="Parcial",0.5,0))+0.2*IF(J3="Sí",1,IF(J3="Parcial",0.5,0))</f>
        <v/>
      </c>
      <c r="L3" s="6">
        <f>IF(K3&gt;=1,"Cerrado",IF(K3&gt;=0.65,"Avanzado",IF(K3&gt;=0.25,"En curso","Pendiente")))</f>
        <v/>
      </c>
      <c r="M3" s="5" t="inlineStr">
        <is>
          <t>Datasets de doble cobro (28) y TNR (36) con frontera contra los vecinos del catálogo; tableros benchmark y canario. Techo con LLM real 96,4 % en doble cobro (local, 7/09); pisos sin LLM 46,4 % y 55,6 %. Banco de 36 casos de ruteo TNR corrido en dev el 15/09: 97,2 %; 19/19 propias, 0 entradas indebidas. Recorrido completo T01.</t>
        </is>
      </c>
      <c r="N3" s="5" t="inlineStr">
        <is>
          <t>R-01, R-02, T01a–T01g</t>
        </is>
      </c>
      <c r="O3" s="5" t="inlineStr">
        <is>
          <t>Aprobación.</t>
        </is>
      </c>
      <c r="P3" s="5" t="inlineStr">
        <is>
          <t>Pablo</t>
        </is>
      </c>
      <c r="Q3" s="5" t="inlineStr">
        <is>
          <t>docs/EVIDENCIAS_TNR_RCS.docx</t>
        </is>
      </c>
    </row>
    <row r="4" ht="96" customHeight="1">
      <c r="A4" s="6" t="inlineStr">
        <is>
          <t>IT1.3</t>
        </is>
      </c>
      <c r="B4" s="5" t="inlineStr">
        <is>
          <t>Pruebas adversariales y evaluación del sistema IA</t>
        </is>
      </c>
      <c r="C4" s="5" t="inlineStr">
        <is>
          <t>Validación integral, seguridad y calidad de IA</t>
        </is>
      </c>
      <c r="D4" s="5" t="inlineStr">
        <is>
          <t>3. Evaluación generativa: pruebas de factualidad/grounding que relacionen pregunta, fuente recuperada, respuesta, incluyendo información inexistente, insuficiente o contradictoria y validación de fallback.</t>
        </is>
      </c>
      <c r="E4" s="6" t="inlineStr">
        <is>
          <t>Bloqueante</t>
        </is>
      </c>
      <c r="F4" s="5" t="inlineStr">
        <is>
          <t>Equipo Data</t>
        </is>
      </c>
      <c r="G4" s="5" t="inlineStr">
        <is>
          <t>docs/EVIDENCIAS_TNR_RCS.docx</t>
        </is>
      </c>
      <c r="H4" s="6" t="inlineStr">
        <is>
          <t>Sí</t>
        </is>
      </c>
      <c r="I4" s="6" t="inlineStr">
        <is>
          <t>Parcial</t>
        </is>
      </c>
      <c r="J4" s="6" t="inlineStr">
        <is>
          <t>No</t>
        </is>
      </c>
      <c r="K4" s="7">
        <f>0.5*IF(H4="Sí",1,IF(H4="Parcial",0.5,0))+0.3*IF(I4="Sí",1,IF(I4="Parcial",0.5,0))+0.2*IF(J4="Sí",1,IF(J4="Parcial",0.5,0))</f>
        <v/>
      </c>
      <c r="L4" s="6">
        <f>IF(K4&gt;=1,"Cerrado",IF(K4&gt;=0.65,"Avanzado",IF(K4&gt;=0.25,"En curso","Pendiente")))</f>
        <v/>
      </c>
      <c r="M4" s="5" t="inlineStr">
        <is>
          <t>Banco de fidelidad corrido el 15/09: 7 de 11 puntuados; 12 sin resolver por instrumentación (H-32, corregida) y 3 saludos sin ficha (H-22). Sin dato no inventa (T02, T03).</t>
        </is>
      </c>
      <c r="N4" s="5" t="inlineStr">
        <is>
          <t>T02a–T02c, T03, R-10, R-11, R-17</t>
        </is>
      </c>
      <c r="O4" s="5" t="inlineStr">
        <is>
          <t>Repetir la corrida de fidelidad tras desplegar H-32 y cargar fichas (H-22). Ruteo tras aclaración (H-31).</t>
        </is>
      </c>
      <c r="P4" s="5" t="inlineStr">
        <is>
          <t>Pablo</t>
        </is>
      </c>
      <c r="Q4" s="5" t="inlineStr">
        <is>
          <t>docs/EVIDENCIAS_TNR_RCS.docx</t>
        </is>
      </c>
    </row>
    <row r="5" ht="96" customHeight="1">
      <c r="A5" s="6" t="inlineStr">
        <is>
          <t>IT1.4</t>
        </is>
      </c>
      <c r="B5" s="5" t="inlineStr">
        <is>
          <t>Pruebas adversariales y evaluación del sistema IA</t>
        </is>
      </c>
      <c r="C5" s="5" t="inlineStr">
        <is>
          <t>Validación integral, seguridad y calidad de IA</t>
        </is>
      </c>
      <c r="D5" s="5" t="inlineStr">
        <is>
          <t>4. Pruebas adversariales: informe sobre la configuración final contemplando como mínimo prompt injection, manipulación del routing/intención, evasión de guardrails, manipulación de contexto, fuga de información e intento de acceso/uso de capacidades no autorizadas.</t>
        </is>
      </c>
      <c r="E5" s="6" t="inlineStr">
        <is>
          <t>Bloqueante</t>
        </is>
      </c>
      <c r="F5" s="5" t="inlineStr">
        <is>
          <t>Equipo Data</t>
        </is>
      </c>
      <c r="G5" s="5" t="inlineStr">
        <is>
          <t>docs/EVIDENCIAS_TNR_RCS.docx</t>
        </is>
      </c>
      <c r="H5" s="6" t="inlineStr">
        <is>
          <t>Sí</t>
        </is>
      </c>
      <c r="I5" s="6" t="inlineStr">
        <is>
          <t>Sí</t>
        </is>
      </c>
      <c r="J5" s="6" t="inlineStr">
        <is>
          <t>No</t>
        </is>
      </c>
      <c r="K5" s="7">
        <f>0.5*IF(H5="Sí",1,IF(H5="Parcial",0.5,0))+0.3*IF(I5="Sí",1,IF(I5="Parcial",0.5,0))+0.2*IF(J5="Sí",1,IF(J5="Parcial",0.5,0))</f>
        <v/>
      </c>
      <c r="L5" s="6">
        <f>IF(K5&gt;=1,"Cerrado",IF(K5&gt;=0.65,"Avanzado",IF(K5&gt;=0.25,"En curso","Pendiente")))</f>
        <v/>
      </c>
      <c r="M5" s="5" t="inlineStr">
        <is>
          <t>Banco adversarial corrido el 15/09: 60 ataques, ninguna fuga ni acción indebida; 45/51 puntuados, 4 inyecciones paradas pero mal informadas (H-32), 2 manipulaciones de ruteo sin efecto (H-30). Inyección (T07), casos trampa (R-02), manipulación (T09–T11).</t>
        </is>
      </c>
      <c r="N5" s="5" t="inlineStr">
        <is>
          <t>R-16, T07, R-02, T09, T10, T11</t>
        </is>
      </c>
      <c r="O5" s="5" t="inlineStr">
        <is>
          <t>Repetir tras desplegar H-32 y la regla H-30. Traza del rechazo (H-25).</t>
        </is>
      </c>
      <c r="P5" s="5" t="inlineStr">
        <is>
          <t>Pablo</t>
        </is>
      </c>
      <c r="Q5" s="5" t="inlineStr">
        <is>
          <t>docs/EVIDENCIAS_TNR_RCS.docx</t>
        </is>
      </c>
    </row>
    <row r="6" ht="96" customHeight="1">
      <c r="A6" s="6" t="inlineStr">
        <is>
          <t>IT1.5</t>
        </is>
      </c>
      <c r="B6" s="5" t="inlineStr">
        <is>
          <t>Pruebas adversariales y evaluación del sistema IA</t>
        </is>
      </c>
      <c r="C6" s="5" t="inlineStr">
        <is>
          <t>Validación integral, seguridad y calidad de IA</t>
        </is>
      </c>
      <c r="D6" s="5" t="inlineStr">
        <is>
          <t>5. Cierre de pruebas: remediación y retest satisfactorio de hallazgos críticos/altos y evidencia de cumplimiento de los umbrales aprobados.</t>
        </is>
      </c>
      <c r="E6" s="6" t="inlineStr">
        <is>
          <t>Bloqueante</t>
        </is>
      </c>
      <c r="F6" s="5" t="inlineStr">
        <is>
          <t>Equipo Data</t>
        </is>
      </c>
      <c r="G6" s="5" t="n"/>
      <c r="H6" s="6" t="inlineStr">
        <is>
          <t>Parcial</t>
        </is>
      </c>
      <c r="I6" s="6" t="inlineStr">
        <is>
          <t>Parcial</t>
        </is>
      </c>
      <c r="J6" s="6" t="inlineStr">
        <is>
          <t>No</t>
        </is>
      </c>
      <c r="K6" s="7">
        <f>0.5*IF(H6="Sí",1,IF(H6="Parcial",0.5,0))+0.3*IF(I6="Sí",1,IF(I6="Parcial",0.5,0))+0.2*IF(J6="Sí",1,IF(J6="Parcial",0.5,0))</f>
        <v/>
      </c>
      <c r="L6" s="6">
        <f>IF(K6&gt;=1,"Cerrado",IF(K6&gt;=0.65,"Avanzado",IF(K6&gt;=0.25,"En curso","Pendiente")))</f>
        <v/>
      </c>
      <c r="M6" s="5" t="inlineStr">
        <is>
          <t>Registro de 18 hallazgos con severidad, dueño y retest. El crítico de trazas (H-08) está remediado en código.</t>
        </is>
      </c>
      <c r="N6" s="5" t="inlineStr">
        <is>
          <t>E10 (local), E11</t>
        </is>
      </c>
      <c r="O6" s="5" t="inlineStr">
        <is>
          <t>Cerrar los altos abiertos: H-06 Tantia, H-09 rotar credenciales, H-14 autenticación del llamador, H-15 reconciliación.</t>
        </is>
      </c>
      <c r="P6" s="5" t="inlineStr">
        <is>
          <t>Fabián, Diego</t>
        </is>
      </c>
      <c r="Q6" s="5" t="inlineStr">
        <is>
          <t>docs/REGISTRO_HALLAZGOS.md</t>
        </is>
      </c>
    </row>
    <row r="7" ht="96" customHeight="1">
      <c r="A7" s="6" t="inlineStr">
        <is>
          <t>IT1.6</t>
        </is>
      </c>
      <c r="B7" s="5" t="inlineStr">
        <is>
          <t>Pruebas adversariales y evaluación del sistema IA</t>
        </is>
      </c>
      <c r="C7" s="5" t="inlineStr">
        <is>
          <t>Validación integral, seguridad y calidad de IA</t>
        </is>
      </c>
      <c r="D7" s="5" t="inlineStr">
        <is>
          <t>6. Trazabilidad productiva: identificación de modelo/versión, prompts, guardrails, KB/RAG y configuración evaluada, demostrando correspondencia con la versión promovida a producción.</t>
        </is>
      </c>
      <c r="E7" s="6" t="inlineStr">
        <is>
          <t>Bloqueante</t>
        </is>
      </c>
      <c r="F7" s="5" t="inlineStr">
        <is>
          <t>Equipo Data</t>
        </is>
      </c>
      <c r="G7" s="5" t="n"/>
      <c r="H7" s="6" t="inlineStr">
        <is>
          <t>Sí</t>
        </is>
      </c>
      <c r="I7" s="6" t="inlineStr">
        <is>
          <t>Parcial</t>
        </is>
      </c>
      <c r="J7" s="6" t="inlineStr">
        <is>
          <t>No</t>
        </is>
      </c>
      <c r="K7" s="7">
        <f>0.5*IF(H7="Sí",1,IF(H7="Parcial",0.5,0))+0.3*IF(I7="Sí",1,IF(I7="Parcial",0.5,0))+0.2*IF(J7="Sí",1,IF(J7="Parcial",0.5,0))</f>
        <v/>
      </c>
      <c r="L7" s="6">
        <f>IF(K7&gt;=1,"Cerrado",IF(K7&gt;=0.65,"Avanzado",IF(K7&gt;=0.25,"En curso","Pendiente")))</f>
        <v/>
      </c>
      <c r="M7" s="5" t="inlineStr">
        <is>
          <t>Ficha de versión generada por commit: imágenes, modelo, portones, huellas de catálogo, prompts y guardrails, datasets. Cada corrida lleva el commit del catálogo.</t>
        </is>
      </c>
      <c r="N7" s="5" t="inlineStr">
        <is>
          <t>E12, E13</t>
        </is>
      </c>
      <c r="O7" s="5" t="inlineStr">
        <is>
          <t>Cruzar la ficha con las etiquetas de imagen desplegadas en OKD.</t>
        </is>
      </c>
      <c r="P7" s="5" t="inlineStr">
        <is>
          <t>Pablo</t>
        </is>
      </c>
      <c r="Q7" s="5" t="inlineStr">
        <is>
          <t>scripts/build_release_card.py</t>
        </is>
      </c>
    </row>
    <row r="8" ht="96" customHeight="1">
      <c r="A8" s="6" t="inlineStr">
        <is>
          <t>IT2.1</t>
        </is>
      </c>
      <c r="B8" s="5" t="inlineStr">
        <is>
          <t>Monitoreo, mantenimiento y gobierno de modelos</t>
        </is>
      </c>
      <c r="C8" s="5" t="inlineStr">
        <is>
          <t>Gobierno, monitoreo y ciclo de vida de IA</t>
        </is>
      </c>
      <c r="D8" s="5" t="inlineStr">
        <is>
          <t>1. Procedimiento de gobierno y operación IA: publicado y versionado, incluyendo roles y responsabilidades sobre modelo, prompts, guardrails, KB/RAG y monitoreo.</t>
        </is>
      </c>
      <c r="E8" s="6" t="inlineStr">
        <is>
          <t>Bloqueante</t>
        </is>
      </c>
      <c r="F8" s="5" t="inlineStr">
        <is>
          <t>Equipo Data</t>
        </is>
      </c>
      <c r="G8" s="5" t="n"/>
      <c r="H8" s="6" t="inlineStr">
        <is>
          <t>Parcial</t>
        </is>
      </c>
      <c r="I8" s="6" t="inlineStr">
        <is>
          <t>Parcial</t>
        </is>
      </c>
      <c r="J8" s="6" t="inlineStr">
        <is>
          <t>No</t>
        </is>
      </c>
      <c r="K8" s="7">
        <f>0.5*IF(H8="Sí",1,IF(H8="Parcial",0.5,0))+0.3*IF(I8="Sí",1,IF(I8="Parcial",0.5,0))+0.2*IF(J8="Sí",1,IF(J8="Parcial",0.5,0))</f>
        <v/>
      </c>
      <c r="L8" s="6">
        <f>IF(K8&gt;=1,"Cerrado",IF(K8&gt;=0.65,"Avanzado",IF(K8&gt;=0.25,"En curso","Pendiente")))</f>
        <v/>
      </c>
      <c r="M8" s="5" t="inlineStr">
        <is>
          <t>Procedimiento de gobierno y operación (roles por activo, cambios, catálogo, contingencia, monitoreo) y el Gobierno del Agente IA v3 del banco.</t>
        </is>
      </c>
      <c r="N8" s="5" t="inlineStr">
        <is>
          <t>Informe técnico §2.1</t>
        </is>
      </c>
      <c r="O8" s="5" t="inlineStr">
        <is>
          <t>Unificar en formato banco con nombres y ANS (hoy «XX» en el v3).</t>
        </is>
      </c>
      <c r="P8" s="5" t="inlineStr">
        <is>
          <t>Fabián, Pablo</t>
        </is>
      </c>
      <c r="Q8" s="5" t="inlineStr">
        <is>
          <t>docs/GOBIERNO_Y_OPERACION_IA.md</t>
        </is>
      </c>
    </row>
    <row r="9" ht="96" customHeight="1">
      <c r="A9" s="6" t="inlineStr">
        <is>
          <t>IT2.2</t>
        </is>
      </c>
      <c r="B9" s="5" t="inlineStr">
        <is>
          <t>Monitoreo, mantenimiento y gobierno de modelos</t>
        </is>
      </c>
      <c r="C9" s="5" t="inlineStr">
        <is>
          <t>Gobierno, monitoreo y ciclo de vida de IA</t>
        </is>
      </c>
      <c r="D9" s="5" t="inlineStr">
        <is>
          <t>2. Inventario/configuración: modelo (LLM o SLM) utilizado, versión, proveedor, finalidad, personalizaciones y componentes asociados.</t>
        </is>
      </c>
      <c r="E9" s="6" t="inlineStr">
        <is>
          <t>Bloqueante</t>
        </is>
      </c>
      <c r="F9" s="5" t="inlineStr">
        <is>
          <t>Equipo Data</t>
        </is>
      </c>
      <c r="G9" s="5" t="inlineStr">
        <is>
          <t>docs/EVIDENCIAS_TNR_RCS.docx</t>
        </is>
      </c>
      <c r="H9" s="6" t="inlineStr">
        <is>
          <t>Sí</t>
        </is>
      </c>
      <c r="I9" s="6" t="inlineStr">
        <is>
          <t>Parcial</t>
        </is>
      </c>
      <c r="J9" s="6" t="inlineStr">
        <is>
          <t>No</t>
        </is>
      </c>
      <c r="K9" s="7">
        <f>0.5*IF(H9="Sí",1,IF(H9="Parcial",0.5,0))+0.3*IF(I9="Sí",1,IF(I9="Parcial",0.5,0))+0.2*IF(J9="Sí",1,IF(J9="Parcial",0.5,0))</f>
        <v/>
      </c>
      <c r="L9" s="6">
        <f>IF(K9&gt;=1,"Cerrado",IF(K9&gt;=0.65,"Avanzado",IF(K9&gt;=0.25,"En curso","Pendiente")))</f>
        <v/>
      </c>
      <c r="M9" s="5" t="inlineStr">
        <is>
          <t>Inventario en la ficha de versión: modelo gpt56-terra, embeddings, proveedor Azure OpenAI, finalidad, portones, componentes e imágenes. Inventario en la ficha de versión; versión bajo prueba declarada en el informe (agente 1.0.15, trámite test_v1.0.9).</t>
        </is>
      </c>
      <c r="N9" s="5" t="inlineStr">
        <is>
          <t>Portada del informe</t>
        </is>
      </c>
      <c r="O9" s="5" t="inlineStr">
        <is>
          <t>Captura del ConfigMap.</t>
        </is>
      </c>
      <c r="P9" s="5" t="inlineStr">
        <is>
          <t>Pablo</t>
        </is>
      </c>
      <c r="Q9" s="5" t="inlineStr">
        <is>
          <t>docs/EVIDENCIAS_TNR_RCS.docx</t>
        </is>
      </c>
    </row>
    <row r="10" ht="96" customHeight="1">
      <c r="A10" s="6" t="inlineStr">
        <is>
          <t>IT2.3</t>
        </is>
      </c>
      <c r="B10" s="5" t="inlineStr">
        <is>
          <t>Monitoreo, mantenimiento y gobierno de modelos</t>
        </is>
      </c>
      <c r="C10" s="5" t="inlineStr">
        <is>
          <t>Gobierno, monitoreo y ciclo de vida de IA</t>
        </is>
      </c>
      <c r="D10" s="5" t="inlineStr">
        <is>
          <t>3. Esquema de monitoreo: KPM/KRI, responsables, periodicidad y umbrales sobre routing/accuracy, fallback, errores críticos/relevantes, nuevos patrones, degradación y uso inadecuado.</t>
        </is>
      </c>
      <c r="E10" s="6" t="inlineStr">
        <is>
          <t>Bloqueante</t>
        </is>
      </c>
      <c r="F10" s="5" t="inlineStr">
        <is>
          <t>Equipo Data</t>
        </is>
      </c>
      <c r="G10" s="5" t="n"/>
      <c r="H10" s="6" t="inlineStr">
        <is>
          <t>Sí</t>
        </is>
      </c>
      <c r="I10" s="6" t="inlineStr">
        <is>
          <t>No</t>
        </is>
      </c>
      <c r="J10" s="6" t="inlineStr">
        <is>
          <t>No</t>
        </is>
      </c>
      <c r="K10" s="7">
        <f>0.5*IF(H10="Sí",1,IF(H10="Parcial",0.5,0))+0.3*IF(I10="Sí",1,IF(I10="Parcial",0.5,0))+0.2*IF(J10="Sí",1,IF(J10="Parcial",0.5,0))</f>
        <v/>
      </c>
      <c r="L10" s="6">
        <f>IF(K10&gt;=1,"Cerrado",IF(K10&gt;=0.65,"Avanzado",IF(K10&gt;=0.25,"En curso","Pendiente")))</f>
        <v/>
      </c>
      <c r="M10" s="5" t="inlineStr">
        <is>
          <t>Tres relojes (benchmark, canario, tráfico real) y tres monitores de alerta con umbrales, responsables y cadencias documentados.</t>
        </is>
      </c>
      <c r="N10" s="5" t="inlineStr">
        <is>
          <t>E15, E16</t>
        </is>
      </c>
      <c r="O10" s="5" t="inlineStr">
        <is>
          <t>Aplicar en dev, fijar umbrales y destinatarios, capturar monitores y CronJobs.</t>
        </is>
      </c>
      <c r="P10" s="5" t="inlineStr">
        <is>
          <t>Fabián</t>
        </is>
      </c>
      <c r="Q10" s="5" t="inlineStr">
        <is>
          <t>docs/METRICAS_CAMPOS_Y_VISUALIZACIONES.md §6</t>
        </is>
      </c>
    </row>
    <row r="11" ht="96" customHeight="1">
      <c r="A11" s="6" t="inlineStr">
        <is>
          <t>IT2.4</t>
        </is>
      </c>
      <c r="B11" s="5" t="inlineStr">
        <is>
          <t>Monitoreo, mantenimiento y gobierno de modelos</t>
        </is>
      </c>
      <c r="C11" s="5" t="inlineStr">
        <is>
          <t>Gobierno, monitoreo y ciclo de vida de IA</t>
        </is>
      </c>
      <c r="D11" s="5" t="inlineStr">
        <is>
          <t>4. Gestión de cambios: criterios que determinen cuándo un cambio de modelo, proveedor, prompt, guardrail, KB/RAG o configuración requiere pruebas de regresión o nueva evaluación.</t>
        </is>
      </c>
      <c r="E11" s="6" t="inlineStr">
        <is>
          <t>Bloqueante</t>
        </is>
      </c>
      <c r="F11" s="5" t="inlineStr">
        <is>
          <t>Equipo Data</t>
        </is>
      </c>
      <c r="G11" s="5" t="n"/>
      <c r="H11" s="6" t="inlineStr">
        <is>
          <t>Sí</t>
        </is>
      </c>
      <c r="I11" s="6" t="inlineStr">
        <is>
          <t>Sí</t>
        </is>
      </c>
      <c r="J11" s="6" t="inlineStr">
        <is>
          <t>No</t>
        </is>
      </c>
      <c r="K11" s="7">
        <f>0.5*IF(H11="Sí",1,IF(H11="Parcial",0.5,0))+0.3*IF(I11="Sí",1,IF(I11="Parcial",0.5,0))+0.2*IF(J11="Sí",1,IF(J11="Parcial",0.5,0))</f>
        <v/>
      </c>
      <c r="L11" s="6">
        <f>IF(K11&gt;=1,"Cerrado",IF(K11&gt;=0.65,"Avanzado",IF(K11&gt;=0.25,"En curso","Pendiente")))</f>
        <v/>
      </c>
      <c r="M11" s="5" t="inlineStr">
        <is>
          <t>Matriz cambio → evaluación: qué pruebas exige cada tipo de cambio, y regla de no promover con una suite roja.</t>
        </is>
      </c>
      <c r="N11" s="5" t="inlineStr">
        <is>
          <t>Informe técnico §2.4</t>
        </is>
      </c>
      <c r="O11" s="5" t="inlineStr">
        <is>
          <t>Aprobación.</t>
        </is>
      </c>
      <c r="P11" s="5" t="inlineStr">
        <is>
          <t>Fabián</t>
        </is>
      </c>
      <c r="Q11" s="5" t="inlineStr">
        <is>
          <t>docs/PLAN_DE_PRUEBAS_IA.md §5</t>
        </is>
      </c>
    </row>
    <row r="12" ht="96" customHeight="1">
      <c r="A12" s="6" t="inlineStr">
        <is>
          <t>IT2.5</t>
        </is>
      </c>
      <c r="B12" s="5" t="inlineStr">
        <is>
          <t>Monitoreo, mantenimiento y gobierno de modelos</t>
        </is>
      </c>
      <c r="C12" s="5" t="inlineStr">
        <is>
          <t>Gobierno, monitoreo y ciclo de vida de IA</t>
        </is>
      </c>
      <c r="D12" s="5" t="inlineStr">
        <is>
          <t>5. Gobierno de KB/RAG: responsables de creación/modificación/aprobación, versionamiento, vigencia, trazabilidad y retiro de contenido.</t>
        </is>
      </c>
      <c r="E12" s="6" t="inlineStr">
        <is>
          <t>Bloqueante</t>
        </is>
      </c>
      <c r="F12" s="5" t="inlineStr">
        <is>
          <t>Equipo Data</t>
        </is>
      </c>
      <c r="G12" s="5" t="n"/>
      <c r="H12" s="6" t="inlineStr">
        <is>
          <t>Sí</t>
        </is>
      </c>
      <c r="I12" s="6" t="inlineStr">
        <is>
          <t>Sí</t>
        </is>
      </c>
      <c r="J12" s="6" t="inlineStr">
        <is>
          <t>No</t>
        </is>
      </c>
      <c r="K12" s="7">
        <f>0.5*IF(H12="Sí",1,IF(H12="Parcial",0.5,0))+0.3*IF(I12="Sí",1,IF(I12="Parcial",0.5,0))+0.2*IF(J12="Sí",1,IF(J12="Parcial",0.5,0))</f>
        <v/>
      </c>
      <c r="L12" s="6">
        <f>IF(K12&gt;=1,"Cerrado",IF(K12&gt;=0.65,"Avanzado",IF(K12&gt;=0.25,"En curso","Pendiente")))</f>
        <v/>
      </c>
      <c r="M12" s="5" t="inlineStr">
        <is>
          <t>Catálogo y flujos versionados en git; aprobación, versionamiento, vigencia y retiro documentados; el commit del catálogo viaja en cada corrida.</t>
        </is>
      </c>
      <c r="N12" s="5" t="inlineStr">
        <is>
          <t>E17</t>
        </is>
      </c>
      <c r="O12" s="5" t="inlineStr">
        <is>
          <t>Aprobación.</t>
        </is>
      </c>
      <c r="P12" s="5" t="inlineStr">
        <is>
          <t>Fabián</t>
        </is>
      </c>
      <c r="Q12" s="5" t="inlineStr">
        <is>
          <t>docs/GOBIERNO_Y_OPERACION_IA.md §4</t>
        </is>
      </c>
    </row>
    <row r="13" ht="96" customHeight="1">
      <c r="A13" s="6" t="inlineStr">
        <is>
          <t>IT2.6</t>
        </is>
      </c>
      <c r="B13" s="5" t="inlineStr">
        <is>
          <t>Monitoreo, mantenimiento y gobierno de modelos</t>
        </is>
      </c>
      <c r="C13" s="5" t="inlineStr">
        <is>
          <t>Gobierno, monitoreo y ciclo de vida de IA</t>
        </is>
      </c>
      <c r="D13" s="5" t="inlineStr">
        <is>
          <t>6. Contingencia: criterios y procedimiento para escalamiento, suspensión de una tipología, retorno a estabilización y derivación al proceso tradicional.</t>
        </is>
      </c>
      <c r="E13" s="6" t="inlineStr">
        <is>
          <t>Bloqueante</t>
        </is>
      </c>
      <c r="F13" s="5" t="inlineStr">
        <is>
          <t>Equipo Data</t>
        </is>
      </c>
      <c r="G13" s="12" t="inlineStr">
        <is>
          <t>Documento RCS</t>
        </is>
      </c>
      <c r="H13" s="6" t="inlineStr">
        <is>
          <t>Parcial</t>
        </is>
      </c>
      <c r="I13" s="6" t="inlineStr">
        <is>
          <t>Parcial</t>
        </is>
      </c>
      <c r="J13" s="6" t="inlineStr">
        <is>
          <t>No</t>
        </is>
      </c>
      <c r="K13" s="7">
        <f>0.5*IF(H13="Sí",1,IF(H13="Parcial",0.5,0))+0.3*IF(I13="Sí",1,IF(I13="Parcial",0.5,0))+0.2*IF(J13="Sí",1,IF(J13="Parcial",0.5,0))</f>
        <v/>
      </c>
      <c r="L13" s="6">
        <f>IF(K13&gt;=1,"Cerrado",IF(K13&gt;=0.65,"Avanzado",IF(K13&gt;=0.25,"En curso","Pendiente")))</f>
        <v/>
      </c>
      <c r="M13" s="5" t="inlineStr">
        <is>
          <t>Documento de contingencia de Fabián y procedimiento en gobierno §5; modo contingencia medido (piso sin LLM).</t>
        </is>
      </c>
      <c r="N13" s="5" t="inlineStr">
        <is>
          <t>E18</t>
        </is>
      </c>
      <c r="O13" s="5" t="inlineStr">
        <is>
          <t>Cerrar el documento de Fabián y capturar la corrida en contingencia en dev.</t>
        </is>
      </c>
      <c r="P13" s="5" t="inlineStr">
        <is>
          <t>Fabián</t>
        </is>
      </c>
      <c r="Q13" s="5" t="inlineStr">
        <is>
          <t>Enlace RCS · docs/GOBIERNO_Y_OPERACION_IA.md §5</t>
        </is>
      </c>
    </row>
    <row r="14" ht="96" customHeight="1">
      <c r="A14" s="6" t="inlineStr">
        <is>
          <t>IT2.7</t>
        </is>
      </c>
      <c r="B14" s="5" t="inlineStr">
        <is>
          <t>Monitoreo, mantenimiento y gobierno de modelos</t>
        </is>
      </c>
      <c r="C14" s="5" t="inlineStr">
        <is>
          <t>Gobierno, monitoreo y ciclo de vida de IA</t>
        </is>
      </c>
      <c r="D14" s="5" t="inlineStr">
        <is>
          <t>7. Evidencia de revisión periódica: evidencia del comportamiento de la solución una vez iniciada la operación.</t>
        </is>
      </c>
      <c r="E14" s="6" t="inlineStr">
        <is>
          <t>Bloqueante</t>
        </is>
      </c>
      <c r="F14" s="5" t="inlineStr">
        <is>
          <t>Equipo Data</t>
        </is>
      </c>
      <c r="G14" s="5" t="inlineStr">
        <is>
          <t>docs/EVIDENCIAS_TNR_RCS.docx</t>
        </is>
      </c>
      <c r="H14" s="6" t="inlineStr">
        <is>
          <t>Parcial</t>
        </is>
      </c>
      <c r="I14" s="6" t="inlineStr">
        <is>
          <t>Parcial</t>
        </is>
      </c>
      <c r="J14" s="6" t="inlineStr">
        <is>
          <t>No</t>
        </is>
      </c>
      <c r="K14" s="7">
        <f>0.5*IF(H14="Sí",1,IF(H14="Parcial",0.5,0))+0.3*IF(I14="Sí",1,IF(I14="Parcial",0.5,0))+0.2*IF(J14="Sí",1,IF(J14="Parcial",0.5,0))</f>
        <v/>
      </c>
      <c r="L14" s="6">
        <f>IF(K14&gt;=1,"Cerrado",IF(K14&gt;=0.65,"Avanzado",IF(K14&gt;=0.25,"En curso","Pendiente")))</f>
        <v/>
      </c>
      <c r="M14" s="5" t="inlineStr">
        <is>
          <t>Canario ejecutado a mano el 15/09: 8 de 8 rutas críticas.</t>
        </is>
      </c>
      <c r="N14" s="5" t="inlineStr">
        <is>
          <t>R-15</t>
        </is>
      </c>
      <c r="O14" s="5" t="inlineStr">
        <is>
          <t>Encender el canario y acumular ejecuciones en el tiempo.</t>
        </is>
      </c>
      <c r="P14" s="5" t="inlineStr">
        <is>
          <t>Fabián</t>
        </is>
      </c>
      <c r="Q14" s="5" t="inlineStr">
        <is>
          <t>docs/EVIDENCIAS_TNR_RCS.docx</t>
        </is>
      </c>
    </row>
    <row r="15" ht="96" customHeight="1">
      <c r="A15" s="6" t="inlineStr">
        <is>
          <t>IT3.1</t>
        </is>
      </c>
      <c r="B15" s="5" t="inlineStr">
        <is>
          <t>Protección y aislamiento de datos IA</t>
        </is>
      </c>
      <c r="C15" s="5" t="inlineStr">
        <is>
          <t>Protección y aislamiento de información</t>
        </is>
      </c>
      <c r="D15" s="5" t="inlineStr">
        <is>
          <t>1. Mapa E2E de datos IA: identificar qué información entra por usuario/APIs, qué componente la procesa, qué información llega al agente, dónde se almacena y tiempo de conservación.</t>
        </is>
      </c>
      <c r="E15" s="6" t="inlineStr">
        <is>
          <t>No Bloqueante</t>
        </is>
      </c>
      <c r="F15" s="5" t="inlineStr">
        <is>
          <t>Equipo Data</t>
        </is>
      </c>
      <c r="G15" s="5" t="n"/>
      <c r="H15" s="6" t="inlineStr">
        <is>
          <t>Parcial</t>
        </is>
      </c>
      <c r="I15" s="6" t="inlineStr">
        <is>
          <t>No</t>
        </is>
      </c>
      <c r="J15" s="6" t="inlineStr">
        <is>
          <t>No</t>
        </is>
      </c>
      <c r="K15" s="7">
        <f>0.5*IF(H15="Sí",1,IF(H15="Parcial",0.5,0))+0.3*IF(I15="Sí",1,IF(I15="Parcial",0.5,0))+0.2*IF(J15="Sí",1,IF(J15="Parcial",0.5,0))</f>
        <v/>
      </c>
      <c r="L15" s="6">
        <f>IF(K15&gt;=1,"Cerrado",IF(K15&gt;=0.65,"Avanzado",IF(K15&gt;=0.25,"En curso","Pendiente")))</f>
        <v/>
      </c>
      <c r="M15" s="5" t="inlineStr">
        <is>
          <t>Diagrama de infraestructura del SDA y mapa de trazas con datos sensibles.</t>
        </is>
      </c>
      <c r="N15" s="5" t="inlineStr">
        <is>
          <t>—</t>
        </is>
      </c>
      <c r="O15" s="5" t="inlineStr">
        <is>
          <t>Tabla de retención por almacén (OpenSearch operativo y de analítica, MinIO, logs).</t>
        </is>
      </c>
      <c r="P15" s="5" t="inlineStr">
        <is>
          <t>Pablo, Fabián</t>
        </is>
      </c>
      <c r="Q15" s="5" t="inlineStr">
        <is>
          <t>docs/TRAZAS_DATOS_SENSIBLES.md</t>
        </is>
      </c>
    </row>
    <row r="16" ht="96" customHeight="1">
      <c r="A16" s="6" t="inlineStr">
        <is>
          <t>IT3.2</t>
        </is>
      </c>
      <c r="B16" s="5" t="inlineStr">
        <is>
          <t>Protección y aislamiento de datos IA</t>
        </is>
      </c>
      <c r="C16" s="5" t="inlineStr">
        <is>
          <t>Protección y aislamiento de información</t>
        </is>
      </c>
      <c r="D16" s="5" t="inlineStr">
        <is>
          <t>2. Evidencia de minimización/protección: prueba dato original, mecanismo de enmascaramiento/anonimización/ofuscación, payload efectivamente enviado al modelo.</t>
        </is>
      </c>
      <c r="E16" s="6" t="inlineStr">
        <is>
          <t>No Bloqueante</t>
        </is>
      </c>
      <c r="F16" s="5" t="inlineStr">
        <is>
          <t>Equipo Data</t>
        </is>
      </c>
      <c r="G16" s="5" t="inlineStr">
        <is>
          <t>docs/EVIDENCIAS_TNR_RCS.docx</t>
        </is>
      </c>
      <c r="H16" s="6" t="inlineStr">
        <is>
          <t>Sí</t>
        </is>
      </c>
      <c r="I16" s="6" t="inlineStr">
        <is>
          <t>Sí</t>
        </is>
      </c>
      <c r="J16" s="6" t="inlineStr">
        <is>
          <t>No</t>
        </is>
      </c>
      <c r="K16" s="7">
        <f>0.5*IF(H16="Sí",1,IF(H16="Parcial",0.5,0))+0.3*IF(I16="Sí",1,IF(I16="Parcial",0.5,0))+0.2*IF(J16="Sí",1,IF(J16="Parcial",0.5,0))</f>
        <v/>
      </c>
      <c r="L16" s="6">
        <f>IF(K16&gt;=1,"Cerrado",IF(K16&gt;=0.65,"Avanzado",IF(K16&gt;=0.25,"En curso","Pendiente")))</f>
        <v/>
      </c>
      <c r="M16" s="5" t="inlineStr">
        <is>
          <t>Enmascarado en los emisores y sanitizador en el error handler (PAN a últimos 4, credenciales ocultas, contratos intactos); la configuración de dev ya apaga los volcados. Enmascarado acreditado en el registro: clave &lt;oculto&gt;, permiso como huella, tarjeta ****2274, importes ****, dirección no guardada (R-03 a R-06).</t>
        </is>
      </c>
      <c r="N16" s="5" t="inlineStr">
        <is>
          <t>R-03, R-04, R-05, R-06</t>
        </is>
      </c>
      <c r="O16" s="5" t="inlineStr">
        <is>
          <t>Nombre del titular en claro en la respuesta de productos (H-21).</t>
        </is>
      </c>
      <c r="P16" s="5" t="inlineStr">
        <is>
          <t>Pablo</t>
        </is>
      </c>
      <c r="Q16" s="5" t="inlineStr">
        <is>
          <t>docs/EVIDENCIAS_TNR_RCS.docx</t>
        </is>
      </c>
    </row>
    <row r="17" ht="96" customHeight="1">
      <c r="A17" s="6" t="inlineStr">
        <is>
          <t>IT3.3</t>
        </is>
      </c>
      <c r="B17" s="5" t="inlineStr">
        <is>
          <t>Protección y aislamiento de datos IA</t>
        </is>
      </c>
      <c r="C17" s="5" t="inlineStr">
        <is>
          <t>Protección y aislamiento de información</t>
        </is>
      </c>
      <c r="D17" s="5" t="inlineStr">
        <is>
          <t>3. Aislamiento: pruebas entre clientes, sesiones y contextos demostrando imposibilidad de recuperar información perteneciente a otro usuario.</t>
        </is>
      </c>
      <c r="E17" s="6" t="inlineStr">
        <is>
          <t>No Bloqueante</t>
        </is>
      </c>
      <c r="F17" s="5" t="inlineStr">
        <is>
          <t>Equipo Data</t>
        </is>
      </c>
      <c r="G17" s="5" t="inlineStr">
        <is>
          <t>docs/EVIDENCIAS_TNR_RCS.docx</t>
        </is>
      </c>
      <c r="H17" s="6" t="inlineStr">
        <is>
          <t>Parcial</t>
        </is>
      </c>
      <c r="I17" s="6" t="inlineStr">
        <is>
          <t>Parcial</t>
        </is>
      </c>
      <c r="J17" s="6" t="inlineStr">
        <is>
          <t>No</t>
        </is>
      </c>
      <c r="K17" s="7">
        <f>0.5*IF(H17="Sí",1,IF(H17="Parcial",0.5,0))+0.3*IF(I17="Sí",1,IF(I17="Parcial",0.5,0))+0.2*IF(J17="Sí",1,IF(J17="Parcial",0.5,0))</f>
        <v/>
      </c>
      <c r="L17" s="6">
        <f>IF(K17&gt;=1,"Cerrado",IF(K17&gt;=0.65,"Avanzado",IF(K17&gt;=0.25,"En curso","Pendiente")))</f>
        <v/>
      </c>
      <c r="M17" s="5" t="inlineStr">
        <is>
          <t>Id de conversación derivado del cliente, probado; hallazgo H-14 documentado. Tarjeta ajena ignorada, solo productos del titular (T11). Aislamiento por conversación acreditado.</t>
        </is>
      </c>
      <c r="N17" s="5" t="inlineStr">
        <is>
          <t>T11</t>
        </is>
      </c>
      <c r="O17" s="5" t="inlineStr">
        <is>
          <t>Autenticación del llamador (H-14).</t>
        </is>
      </c>
      <c r="P17" s="5" t="inlineStr">
        <is>
          <t>Fabián</t>
        </is>
      </c>
      <c r="Q17" s="5" t="inlineStr">
        <is>
          <t>docs/EVIDENCIAS_TNR_RCS.docx</t>
        </is>
      </c>
    </row>
    <row r="18" ht="96" customHeight="1">
      <c r="A18" s="6" t="inlineStr">
        <is>
          <t>IT3.4</t>
        </is>
      </c>
      <c r="B18" s="5" t="inlineStr">
        <is>
          <t>Protección y aislamiento de datos IA</t>
        </is>
      </c>
      <c r="C18" s="5" t="inlineStr">
        <is>
          <t>Protección y aislamiento de información</t>
        </is>
      </c>
      <c r="D18" s="5" t="inlineStr">
        <is>
          <t>4. Pruebas de exposición/reconstrucción: intentos de inferencia, recuperación o extracción de datos sensibles mediante manipulación conversacional.</t>
        </is>
      </c>
      <c r="E18" s="6" t="inlineStr">
        <is>
          <t>No Bloqueante</t>
        </is>
      </c>
      <c r="F18" s="5" t="inlineStr">
        <is>
          <t>Equipo Data</t>
        </is>
      </c>
      <c r="G18" s="5" t="inlineStr">
        <is>
          <t>docs/EVIDENCIAS_TNR_RCS.docx</t>
        </is>
      </c>
      <c r="H18" s="6" t="inlineStr">
        <is>
          <t>Sí</t>
        </is>
      </c>
      <c r="I18" s="6" t="inlineStr">
        <is>
          <t>Sí</t>
        </is>
      </c>
      <c r="J18" s="6" t="inlineStr">
        <is>
          <t>No</t>
        </is>
      </c>
      <c r="K18" s="7">
        <f>0.5*IF(H18="Sí",1,IF(H18="Parcial",0.5,0))+0.3*IF(I18="Sí",1,IF(I18="Parcial",0.5,0))+0.2*IF(J18="Sí",1,IF(J18="Parcial",0.5,0))</f>
        <v/>
      </c>
      <c r="L18" s="6">
        <f>IF(K18&gt;=1,"Cerrado",IF(K18&gt;=0.65,"Avanzado",IF(K18&gt;=0.25,"En curso","Pendiente")))</f>
        <v/>
      </c>
      <c r="M18" s="5" t="inlineStr">
        <is>
          <t>Manipulación de contexto en varios turnos (banco adversarial): el asistente no mostró datos de la cuenta ajena que se le pedía; ninguna fuga en 60 casos.</t>
        </is>
      </c>
      <c r="N18" s="5" t="inlineStr">
        <is>
          <t>R-16</t>
        </is>
      </c>
      <c r="O18" s="5" t="inlineStr">
        <is>
          <t>Repetir la corrida con la marca corregida (H-32) para puntuar los 9 casos multiturno.</t>
        </is>
      </c>
      <c r="P18" s="5" t="inlineStr">
        <is>
          <t>Pablo</t>
        </is>
      </c>
      <c r="Q18" s="5" t="inlineStr">
        <is>
          <t>docs/EVIDENCIAS_TNR_RCS.docx</t>
        </is>
      </c>
    </row>
    <row r="19" ht="96" customHeight="1">
      <c r="A19" s="6" t="inlineStr">
        <is>
          <t>IT3.5</t>
        </is>
      </c>
      <c r="B19" s="5" t="inlineStr">
        <is>
          <t>Protección y aislamiento de datos IA</t>
        </is>
      </c>
      <c r="C19" s="5" t="inlineStr">
        <is>
          <t>Protección y aislamiento de información</t>
        </is>
      </c>
      <c r="D19" s="5" t="inlineStr">
        <is>
          <t>5. Guardrails: evidencia de funcionamiento de controles de entrada/salida sobre datos sensibles, incluyendo casos de evasión.</t>
        </is>
      </c>
      <c r="E19" s="6" t="inlineStr">
        <is>
          <t>No Bloqueante</t>
        </is>
      </c>
      <c r="F19" s="5" t="inlineStr">
        <is>
          <t>Equipo Data</t>
        </is>
      </c>
      <c r="G19" s="5" t="inlineStr">
        <is>
          <t>docs/EVIDENCIAS_TNR_RCS.docx</t>
        </is>
      </c>
      <c r="H19" s="6" t="inlineStr">
        <is>
          <t>Sí</t>
        </is>
      </c>
      <c r="I19" s="6" t="inlineStr">
        <is>
          <t>Sí</t>
        </is>
      </c>
      <c r="J19" s="6" t="inlineStr">
        <is>
          <t>No</t>
        </is>
      </c>
      <c r="K19" s="7">
        <f>0.5*IF(H19="Sí",1,IF(H19="Parcial",0.5,0))+0.3*IF(I19="Sí",1,IF(I19="Parcial",0.5,0))+0.2*IF(J19="Sí",1,IF(J19="Parcial",0.5,0))</f>
        <v/>
      </c>
      <c r="L19" s="6">
        <f>IF(K19&gt;=1,"Cerrado",IF(K19&gt;=0.65,"Avanzado",IF(K19&gt;=0.25,"En curso","Pendiente")))</f>
        <v/>
      </c>
      <c r="M19" s="5" t="inlineStr">
        <is>
          <t>Guardrail de dos capas (filtro determinista y juez de alcance) y 10 casos de evasión. Inyección y petición ajena detenidas con el mensaje de alcance, sin entrar a ningún trámite (T07, T08).</t>
        </is>
      </c>
      <c r="N19" s="5" t="inlineStr">
        <is>
          <t>T07, T08</t>
        </is>
      </c>
      <c r="O19" s="5" t="inlineStr">
        <is>
          <t>Que el rechazo deje traza junto a la conversación (H-25).</t>
        </is>
      </c>
      <c r="P19" s="5" t="inlineStr">
        <is>
          <t>Pablo</t>
        </is>
      </c>
      <c r="Q19" s="5" t="inlineStr">
        <is>
          <t>docs/EVIDENCIAS_TNR_RCS.docx</t>
        </is>
      </c>
    </row>
    <row r="20" ht="96" customHeight="1">
      <c r="A20" s="6" t="inlineStr">
        <is>
          <t>IT3.6</t>
        </is>
      </c>
      <c r="B20" s="5" t="inlineStr">
        <is>
          <t>Protección y aislamiento de datos IA</t>
        </is>
      </c>
      <c r="C20" s="5" t="inlineStr">
        <is>
          <t>Protección y aislamiento de información</t>
        </is>
      </c>
      <c r="D20" s="5" t="inlineStr">
        <is>
          <t>6. Persistencia: revisión de prompts, outputs, OpenSearch/históricos, logs y trazas demostrando ausencia de información sensible en claro cuando no resulte necesaria.</t>
        </is>
      </c>
      <c r="E20" s="6" t="inlineStr">
        <is>
          <t>No Bloqueante</t>
        </is>
      </c>
      <c r="F20" s="5" t="inlineStr">
        <is>
          <t>Equipo Data</t>
        </is>
      </c>
      <c r="G20" s="5" t="inlineStr">
        <is>
          <t>docs/EVIDENCIAS_TNR_RCS.docx</t>
        </is>
      </c>
      <c r="H20" s="6" t="inlineStr">
        <is>
          <t>Sí</t>
        </is>
      </c>
      <c r="I20" s="6" t="inlineStr">
        <is>
          <t>Parcial</t>
        </is>
      </c>
      <c r="J20" s="6" t="inlineStr">
        <is>
          <t>No</t>
        </is>
      </c>
      <c r="K20" s="7">
        <f>0.5*IF(H20="Sí",1,IF(H20="Parcial",0.5,0))+0.3*IF(I20="Sí",1,IF(I20="Parcial",0.5,0))+0.2*IF(J20="Sí",1,IF(J20="Parcial",0.5,0))</f>
        <v/>
      </c>
      <c r="L20" s="6">
        <f>IF(K20&gt;=1,"Cerrado",IF(K20&gt;=0.65,"Avanzado",IF(K20&gt;=0.25,"En curso","Pendiente")))</f>
        <v/>
      </c>
      <c r="M20" s="5" t="inlineStr">
        <is>
          <t>Tres capas contra datos sensibles en trazas y script de barrido; la configuración de dev ya apaga los volcados. Registros sin clave, sin permiso completo, sin PAN, sin dirección (R-03 a R-06).</t>
        </is>
      </c>
      <c r="N20" s="5" t="inlineStr">
        <is>
          <t>R-03 a R-06</t>
        </is>
      </c>
      <c r="O20" s="5" t="inlineStr">
        <is>
          <t>Nombre del titular en claro (H-21); depurar histórico.</t>
        </is>
      </c>
      <c r="P20" s="5" t="inlineStr">
        <is>
          <t>Fabián</t>
        </is>
      </c>
      <c r="Q20" s="5" t="inlineStr">
        <is>
          <t>docs/EVIDENCIAS_TNR_RCS.docx</t>
        </is>
      </c>
    </row>
    <row r="21" ht="96" customHeight="1">
      <c r="A21" s="6" t="inlineStr">
        <is>
          <t>IT3.7</t>
        </is>
      </c>
      <c r="B21" s="5" t="inlineStr">
        <is>
          <t>Protección y aislamiento de datos IA</t>
        </is>
      </c>
      <c r="C21" s="5" t="inlineStr">
        <is>
          <t>Protección y aislamiento de información</t>
        </is>
      </c>
      <c r="D21" s="5" t="inlineStr">
        <is>
          <t>7. Remediación/retest: de cualquier hallazgo crítico o alto asociado a exposición o aislamiento.</t>
        </is>
      </c>
      <c r="E21" s="6" t="inlineStr">
        <is>
          <t>No Bloqueante</t>
        </is>
      </c>
      <c r="F21" s="5" t="inlineStr">
        <is>
          <t>Equipo Data</t>
        </is>
      </c>
      <c r="G21" s="5" t="n"/>
      <c r="H21" s="6" t="inlineStr">
        <is>
          <t>Parcial</t>
        </is>
      </c>
      <c r="I21" s="6" t="inlineStr">
        <is>
          <t>Parcial</t>
        </is>
      </c>
      <c r="J21" s="6" t="inlineStr">
        <is>
          <t>No</t>
        </is>
      </c>
      <c r="K21" s="7">
        <f>0.5*IF(H21="Sí",1,IF(H21="Parcial",0.5,0))+0.3*IF(I21="Sí",1,IF(I21="Parcial",0.5,0))+0.2*IF(J21="Sí",1,IF(J21="Parcial",0.5,0))</f>
        <v/>
      </c>
      <c r="L21" s="6">
        <f>IF(K21&gt;=1,"Cerrado",IF(K21&gt;=0.65,"Avanzado",IF(K21&gt;=0.25,"En curso","Pendiente")))</f>
        <v/>
      </c>
      <c r="M21" s="5" t="inlineStr">
        <is>
          <t>H-08 remediado en código con retest por barrido.</t>
        </is>
      </c>
      <c r="N21" s="5" t="inlineStr">
        <is>
          <t>E10</t>
        </is>
      </c>
      <c r="O21" s="5" t="inlineStr">
        <is>
          <t>Depurar el histórico y rotar la API key de Azure y la clave del granting (H-09).</t>
        </is>
      </c>
      <c r="P21" s="5" t="inlineStr">
        <is>
          <t>Fabián</t>
        </is>
      </c>
      <c r="Q21" s="5" t="inlineStr">
        <is>
          <t>docs/REGISTRO_HALLAZGOS.md</t>
        </is>
      </c>
    </row>
    <row r="22" ht="96" customHeight="1">
      <c r="A22" s="6" t="inlineStr">
        <is>
          <t>IT4.1</t>
        </is>
      </c>
      <c r="B22" s="5" t="inlineStr">
        <is>
          <t>Restricción de autonomía e integridad financiera</t>
        </is>
      </c>
      <c r="C22" s="5" t="inlineStr">
        <is>
          <t>Restricción de autonomía e integridad financiera</t>
        </is>
      </c>
      <c r="D22" s="5" t="inlineStr">
        <is>
          <t>1. Arquitectura E2E: diseño actualizado.</t>
        </is>
      </c>
      <c r="E22" s="6" t="inlineStr">
        <is>
          <t>Bloqueante</t>
        </is>
      </c>
      <c r="F22" s="5" t="inlineStr">
        <is>
          <t>Equipo Data</t>
        </is>
      </c>
      <c r="G22" s="12" t="inlineStr">
        <is>
          <t>Documento RCS</t>
        </is>
      </c>
      <c r="H22" s="6" t="inlineStr">
        <is>
          <t>Parcial</t>
        </is>
      </c>
      <c r="I22" s="6" t="inlineStr">
        <is>
          <t>Parcial</t>
        </is>
      </c>
      <c r="J22" s="6" t="inlineStr">
        <is>
          <t>No</t>
        </is>
      </c>
      <c r="K22" s="7">
        <f>0.5*IF(H22="Sí",1,IF(H22="Parcial",0.5,0))+0.3*IF(I22="Sí",1,IF(I22="Parcial",0.5,0))+0.2*IF(J22="Sí",1,IF(J22="Parcial",0.5,0))</f>
        <v/>
      </c>
      <c r="L22" s="6">
        <f>IF(K22&gt;=1,"Cerrado",IF(K22&gt;=0.65,"Avanzado",IF(K22&gt;=0.25,"En curso","Pendiente")))</f>
        <v/>
      </c>
      <c r="M22" s="5" t="inlineStr">
        <is>
          <t>Diseño técnico SDA 53781 y documento de arquitectura de Fabián; arquitectura del agente en el repo.</t>
        </is>
      </c>
      <c r="N22" s="5" t="inlineStr">
        <is>
          <t>—</t>
        </is>
      </c>
      <c r="O22" s="5" t="inlineStr">
        <is>
          <t>Actualizar con la analítica y el servicio de autorización.</t>
        </is>
      </c>
      <c r="P22" s="5" t="inlineStr">
        <is>
          <t>Fabián</t>
        </is>
      </c>
      <c r="Q22" s="5" t="inlineStr">
        <is>
          <t>Enlace RCS · docs/ARQUITECTURA_BACK_AGENT.md</t>
        </is>
      </c>
    </row>
    <row r="23" ht="96" customHeight="1">
      <c r="A23" s="6" t="inlineStr">
        <is>
          <t>IT4.2</t>
        </is>
      </c>
      <c r="B23" s="5" t="inlineStr">
        <is>
          <t>Restricción de autonomía e integridad financiera</t>
        </is>
      </c>
      <c r="C23" s="5" t="inlineStr">
        <is>
          <t>Restricción de autonomía e integridad financiera</t>
        </is>
      </c>
      <c r="D23" s="5" t="inlineStr">
        <is>
          <t>2. Restricción de capacidades: catálogo/allowlist de rutas, acciones, estados y parámetros permitidos y evidencia de validación independiente de los outputs IA antes de ejecutar acciones sensibles.</t>
        </is>
      </c>
      <c r="E23" s="6" t="inlineStr">
        <is>
          <t>Bloqueante</t>
        </is>
      </c>
      <c r="F23" s="5" t="inlineStr">
        <is>
          <t>Equipo Data</t>
        </is>
      </c>
      <c r="G23" s="5" t="n"/>
      <c r="H23" s="6" t="inlineStr">
        <is>
          <t>Sí</t>
        </is>
      </c>
      <c r="I23" s="6" t="inlineStr">
        <is>
          <t>Sí</t>
        </is>
      </c>
      <c r="J23" s="6" t="inlineStr">
        <is>
          <t>No</t>
        </is>
      </c>
      <c r="K23" s="7">
        <f>0.5*IF(H23="Sí",1,IF(H23="Parcial",0.5,0))+0.3*IF(I23="Sí",1,IF(I23="Parcial",0.5,0))+0.2*IF(J23="Sí",1,IF(J23="Parcial",0.5,0))</f>
        <v/>
      </c>
      <c r="L23" s="6">
        <f>IF(K23&gt;=1,"Cerrado",IF(K23&gt;=0.65,"Avanzado",IF(K23&gt;=0.25,"En curso","Pendiente")))</f>
        <v/>
      </c>
      <c r="M23" s="5" t="inlineStr">
        <is>
          <t>Catálogo generado del YAML: 34 acciones, 4 con efecto, puertas obligatorias demostradas y 0 atajos; test de contrato.</t>
        </is>
      </c>
      <c r="N23" s="5" t="inlineStr">
        <is>
          <t>E23</t>
        </is>
      </c>
      <c r="O23" s="5" t="inlineStr">
        <is>
          <t>Aprobación.</t>
        </is>
      </c>
      <c r="P23" s="5" t="inlineStr">
        <is>
          <t>Fabián</t>
        </is>
      </c>
      <c r="Q23" s="5" t="inlineStr">
        <is>
          <t>docs/CATALOGO_CAPACIDADES.md</t>
        </is>
      </c>
    </row>
    <row r="24" ht="96" customHeight="1">
      <c r="A24" s="6" t="inlineStr">
        <is>
          <t>IT4.3</t>
        </is>
      </c>
      <c r="B24" s="5" t="inlineStr">
        <is>
          <t>Restricción de autonomía e integridad financiera</t>
        </is>
      </c>
      <c r="C24" s="5" t="inlineStr">
        <is>
          <t>Restricción de autonomía e integridad financiera</t>
        </is>
      </c>
      <c r="D24" s="5" t="inlineStr">
        <is>
          <t>3. Pruebas de bypass: intentos de modificar producto/transacción, saltar estados/reglas, alterar elegibilidad o forzar bloqueo, reexpedición o abono, demostrando rechazo determinístico.</t>
        </is>
      </c>
      <c r="E24" s="6" t="inlineStr">
        <is>
          <t>Bloqueante</t>
        </is>
      </c>
      <c r="F24" s="5" t="inlineStr">
        <is>
          <t>Equipo Data</t>
        </is>
      </c>
      <c r="G24" s="5" t="inlineStr">
        <is>
          <t>docs/EVIDENCIAS_TNR_RCS.docx</t>
        </is>
      </c>
      <c r="H24" s="6" t="inlineStr">
        <is>
          <t>Sí</t>
        </is>
      </c>
      <c r="I24" s="6" t="inlineStr">
        <is>
          <t>Sí</t>
        </is>
      </c>
      <c r="J24" s="6" t="inlineStr">
        <is>
          <t>No</t>
        </is>
      </c>
      <c r="K24" s="7">
        <f>0.5*IF(H24="Sí",1,IF(H24="Parcial",0.5,0))+0.3*IF(I24="Sí",1,IF(I24="Parcial",0.5,0))+0.2*IF(J24="Sí",1,IF(J24="Parcial",0.5,0))</f>
        <v/>
      </c>
      <c r="L24" s="6">
        <f>IF(K24&gt;=1,"Cerrado",IF(K24&gt;=0.65,"Avanzado",IF(K24&gt;=0.25,"En curso","Pendiente")))</f>
        <v/>
      </c>
      <c r="M24" s="5" t="inlineStr">
        <is>
          <t>Banco de omisión de pasos: 20 de 20 sin acción con efecto (R-14). Negativa, «autorízalo tú» y tarjeta ajena en pantalla (T09–T11).</t>
        </is>
      </c>
      <c r="N24" s="5" t="inlineStr">
        <is>
          <t>R-14, T09, T10, T11, R-12, R-13</t>
        </is>
      </c>
      <c r="O24" s="5" t="inlineStr">
        <is>
          <t>Redacción de dos mensajes de rechazo (H-23, H-24).</t>
        </is>
      </c>
      <c r="P24" s="5" t="inlineStr">
        <is>
          <t>Pablo</t>
        </is>
      </c>
      <c r="Q24" s="5" t="inlineStr">
        <is>
          <t>docs/EVIDENCIAS_TNR_RCS.docx</t>
        </is>
      </c>
    </row>
    <row r="25" ht="96" customHeight="1">
      <c r="A25" s="6" t="inlineStr">
        <is>
          <t>IT4.4</t>
        </is>
      </c>
      <c r="B25" s="5" t="inlineStr">
        <is>
          <t>Restricción de autonomía e integridad financiera</t>
        </is>
      </c>
      <c r="C25" s="5" t="inlineStr">
        <is>
          <t>Restricción de autonomía e integridad financiera</t>
        </is>
      </c>
      <c r="D25" s="5" t="inlineStr">
        <is>
          <t>4. Idempotencia: evidencia del mecanismo de llave única y pruebas de doble envío, concurrencia, reintento y reingreso.</t>
        </is>
      </c>
      <c r="E25" s="6" t="inlineStr">
        <is>
          <t>Bloqueante</t>
        </is>
      </c>
      <c r="F25" s="5" t="inlineStr">
        <is>
          <t>Equipo Data</t>
        </is>
      </c>
      <c r="G25" s="5" t="inlineStr">
        <is>
          <t>docs/EVIDENCIAS_TNR_RCS.docx</t>
        </is>
      </c>
      <c r="H25" s="6" t="inlineStr">
        <is>
          <t>Sí</t>
        </is>
      </c>
      <c r="I25" s="6" t="inlineStr">
        <is>
          <t>Parcial</t>
        </is>
      </c>
      <c r="J25" s="6" t="inlineStr">
        <is>
          <t>No</t>
        </is>
      </c>
      <c r="K25" s="7">
        <f>0.5*IF(H25="Sí",1,IF(H25="Parcial",0.5,0))+0.3*IF(I25="Sí",1,IF(I25="Parcial",0.5,0))+0.2*IF(J25="Sí",1,IF(J25="Parcial",0.5,0))</f>
        <v/>
      </c>
      <c r="L25" s="6">
        <f>IF(K25&gt;=1,"Cerrado",IF(K25&gt;=0.65,"Avanzado",IF(K25&gt;=0.25,"En curso","Pendiente")))</f>
        <v/>
      </c>
      <c r="M25" s="5" t="inlineStr">
        <is>
          <t>Huella única por transacción para Tantia, ficha única por cliente y flujo, un turno por conversación; tests en verde. Bloqueo anotado de forma duradera (R-09). Caso repetido no demostrable: en DEV la comprobación lee un listado fijo que no distingue por cliente y sin reclamaciones recientes de este tipo.</t>
        </is>
      </c>
      <c r="N25" s="5" t="inlineStr">
        <is>
          <t>R-09, T12</t>
        </is>
      </c>
      <c r="O25" s="5" t="inlineStr">
        <is>
          <t>Repetir T12 con 1013634958: cargar su ficha (seed 10) y TRX_SALESFORCE_SOURCE=aso en el ConfigMap del trámite.</t>
        </is>
      </c>
      <c r="P25" s="5" t="inlineStr">
        <is>
          <t>Pablo</t>
        </is>
      </c>
      <c r="Q25" s="5" t="inlineStr">
        <is>
          <t>docs/EVIDENCIAS_TNR_RCS.docx</t>
        </is>
      </c>
    </row>
    <row r="26" ht="96" customHeight="1">
      <c r="A26" s="6" t="inlineStr">
        <is>
          <t>IT4.5</t>
        </is>
      </c>
      <c r="B26" s="5" t="inlineStr">
        <is>
          <t>Restricción de autonomía e integridad financiera</t>
        </is>
      </c>
      <c r="C26" s="5" t="inlineStr">
        <is>
          <t>Restricción de autonomía e integridad financiera</t>
        </is>
      </c>
      <c r="D26" s="5" t="inlineStr">
        <is>
          <t>5. Fallos parciales: pruebas de timeout/pérdida de respuesta y acciones exitosas con fallo posterior, demostrando que no existe reejecución automática indebida.</t>
        </is>
      </c>
      <c r="E26" s="6" t="inlineStr">
        <is>
          <t>Bloqueante</t>
        </is>
      </c>
      <c r="F26" s="5" t="inlineStr">
        <is>
          <t>Equipo Data</t>
        </is>
      </c>
      <c r="G26" s="5" t="inlineStr">
        <is>
          <t>docs/EVIDENCIAS_TNR_RCS.docx</t>
        </is>
      </c>
      <c r="H26" s="6" t="inlineStr">
        <is>
          <t>Sí</t>
        </is>
      </c>
      <c r="I26" s="6" t="inlineStr">
        <is>
          <t>Sí</t>
        </is>
      </c>
      <c r="J26" s="6" t="inlineStr">
        <is>
          <t>No</t>
        </is>
      </c>
      <c r="K26" s="7">
        <f>0.5*IF(H26="Sí",1,IF(H26="Parcial",0.5,0))+0.3*IF(I26="Sí",1,IF(I26="Parcial",0.5,0))+0.2*IF(J26="Sí",1,IF(J26="Parcial",0.5,0))</f>
        <v/>
      </c>
      <c r="L26" s="6">
        <f>IF(K26&gt;=1,"Cerrado",IF(K26&gt;=0.65,"Avanzado",IF(K26&gt;=0.25,"En curso","Pendiente")))</f>
        <v/>
      </c>
      <c r="M26" s="5" t="inlineStr">
        <is>
          <t>Candado durable contra la reejecución del bloqueo y fail-closed de los gates; tests en verde. Autorización vencida: sin bloqueo (R-07). Autorización aceptada: bloqueo en 54 ms (R-08). Fallo previo a pedirla: denegación sin bloqueo (R-13).</t>
        </is>
      </c>
      <c r="N26" s="5" t="inlineStr">
        <is>
          <t>R-07, R-08, R-13</t>
        </is>
      </c>
      <c r="O26" s="5" t="inlineStr">
        <is>
          <t>Causa del fallo de autorización del 15/09 (H-26).</t>
        </is>
      </c>
      <c r="P26" s="5" t="inlineStr">
        <is>
          <t>Fabián</t>
        </is>
      </c>
      <c r="Q26" s="5" t="inlineStr">
        <is>
          <t>docs/EVIDENCIAS_TNR_RCS.docx</t>
        </is>
      </c>
    </row>
    <row r="27" ht="96" customHeight="1">
      <c r="A27" s="6" t="inlineStr">
        <is>
          <t>IT4.6</t>
        </is>
      </c>
      <c r="B27" s="5" t="inlineStr">
        <is>
          <t>Restricción de autonomía e integridad financiera</t>
        </is>
      </c>
      <c r="C27" s="5" t="inlineStr">
        <is>
          <t>Restricción de autonomía e integridad financiera</t>
        </is>
      </c>
      <c r="D27" s="5" t="inlineStr">
        <is>
          <t>6. Límites antifraude: reglas y parametrización aprobadas para monto, acumulado por cliente, frecuencia y temporalidad, con pruebas de superación.</t>
        </is>
      </c>
      <c r="E27" s="6" t="inlineStr">
        <is>
          <t>Bloqueante</t>
        </is>
      </c>
      <c r="F27" s="5" t="inlineStr">
        <is>
          <t>Equipo Systems</t>
        </is>
      </c>
      <c r="G27" s="5" t="inlineStr">
        <is>
          <t>docs/EVIDENCIAS_TNR_RCS.docx</t>
        </is>
      </c>
      <c r="H27" s="6" t="inlineStr">
        <is>
          <t>Parcial</t>
        </is>
      </c>
      <c r="I27" s="6" t="inlineStr">
        <is>
          <t>Sí</t>
        </is>
      </c>
      <c r="J27" s="6" t="inlineStr">
        <is>
          <t>No</t>
        </is>
      </c>
      <c r="K27" s="7">
        <f>0.5*IF(H27="Sí",1,IF(H27="Parcial",0.5,0))+0.3*IF(I27="Sí",1,IF(I27="Parcial",0.5,0))+0.2*IF(J27="Sí",1,IF(J27="Parcial",0.5,0))</f>
        <v/>
      </c>
      <c r="L27" s="6">
        <f>IF(K27&gt;=1,"Cerrado",IF(K27&gt;=0.65,"Avanzado",IF(K27&gt;=0.25,"En curso","Pendiente")))</f>
        <v/>
      </c>
      <c r="M27" s="5" t="inlineStr">
        <is>
          <t>Importe mínimo y máximo parametrizados (TRX_MONTO_MIN/MAX) y aplicados en el filtro de movimientos y en el paso 2.4.0.1.6; tope de 3 por solicitud en el flujo; contador de solicitudes en 6 meses (MAX_TRX_BOT_RECURRENCE) y consulta de casos previos en Salesforce. Evidencia de código entregada a Systems el 15/09.</t>
        </is>
      </c>
      <c r="N27" s="5" t="inlineStr">
        <is>
          <t>T04, T05a, T05b, T06, T12; docs/EVIDENCIA_CODIGO_LIMITES_IT4.6.docx</t>
        </is>
      </c>
      <c r="O27" s="5" t="inlineStr">
        <is>
          <t>Parametrización aprobada. MAX_TRX_BOT_RECURRENCE vale 20 en DEV, la política dice 3 (H-27). Salesforce desvía al primer caso previo, la política permite 3: decidir (H-28). Acumulado por cliente no implementado (H-16). Retirar código muerto de la regla de importe (H-29).</t>
        </is>
      </c>
      <c r="P27" s="5" t="inlineStr">
        <is>
          <t>Systems, Fabián</t>
        </is>
      </c>
      <c r="Q27" s="5" t="inlineStr">
        <is>
          <t>docs/EVIDENCIA_CODIGO_LIMITES_IT4.6.docx · docs/EVIDENCIAS_TNR_RCS.docx</t>
        </is>
      </c>
    </row>
    <row r="28" ht="96" customHeight="1">
      <c r="A28" s="6" t="inlineStr">
        <is>
          <t>IT4.7</t>
        </is>
      </c>
      <c r="B28" s="5" t="inlineStr">
        <is>
          <t>Restricción de autonomía e integridad financiera</t>
        </is>
      </c>
      <c r="C28" s="5" t="inlineStr">
        <is>
          <t>Restricción de autonomía e integridad financiera</t>
        </is>
      </c>
      <c r="D28" s="5" t="inlineStr">
        <is>
          <t>7. Trazabilidad: logs que permita reconstruir cliente, transacción, reglas, decisión, acción, resultado.</t>
        </is>
      </c>
      <c r="E28" s="6" t="inlineStr">
        <is>
          <t>Bloqueante</t>
        </is>
      </c>
      <c r="F28" s="5" t="inlineStr">
        <is>
          <t>Equipo Data</t>
        </is>
      </c>
      <c r="G28" s="5" t="inlineStr">
        <is>
          <t>docs/EVIDENCIAS_TNR_RCS.docx</t>
        </is>
      </c>
      <c r="H28" s="6" t="inlineStr">
        <is>
          <t>Sí</t>
        </is>
      </c>
      <c r="I28" s="6" t="inlineStr">
        <is>
          <t>Parcial</t>
        </is>
      </c>
      <c r="J28" s="6" t="inlineStr">
        <is>
          <t>No</t>
        </is>
      </c>
      <c r="K28" s="7">
        <f>0.5*IF(H28="Sí",1,IF(H28="Parcial",0.5,0))+0.3*IF(I28="Sí",1,IF(I28="Parcial",0.5,0))+0.2*IF(J28="Sí",1,IF(J28="Parcial",0.5,0))</f>
        <v/>
      </c>
      <c r="L28" s="6">
        <f>IF(K28&gt;=1,"Cerrado",IF(K28&gt;=0.65,"Avanzado",IF(K28&gt;=0.25,"En curso","Pendiente")))</f>
        <v/>
      </c>
      <c r="M28" s="5" t="inlineStr">
        <is>
          <t>Reconstrucción de un caso de punta a punta documentada: eventos por turno, ficha con hitos, trazas enmascaradas. Reconstrucción completa desde el registro: decisión de ruteo (R-01), fechas rechazadas (R-11), bloqueo en orden (R-08), 488 anotaciones revisadas.</t>
        </is>
      </c>
      <c r="N28" s="5" t="inlineStr">
        <is>
          <t>R-01, R-08, R-11, R-12</t>
        </is>
      </c>
      <c r="O28" s="5" t="inlineStr">
        <is>
          <t>Traza del rechazo del control de entrada (H-25).</t>
        </is>
      </c>
      <c r="P28" s="5" t="inlineStr">
        <is>
          <t>Pablo</t>
        </is>
      </c>
      <c r="Q28" s="5" t="inlineStr">
        <is>
          <t>docs/EVIDENCIAS_TNR_RCS.docx</t>
        </is>
      </c>
    </row>
    <row r="29" ht="96" customHeight="1">
      <c r="A29" s="6" t="inlineStr">
        <is>
          <t>IT4.8</t>
        </is>
      </c>
      <c r="B29" s="5" t="inlineStr">
        <is>
          <t>Restricción de autonomía e integridad financiera</t>
        </is>
      </c>
      <c r="C29" s="5" t="inlineStr">
        <is>
          <t>Restricción de autonomía e integridad financiera</t>
        </is>
      </c>
      <c r="D29" s="5" t="inlineStr">
        <is>
          <t>8. Reconciliación: evidencia entre operaciones elegibles, enviadas, ejecutadas, rechazadas/ambiguas y contabilizadas, incluyendo tratamiento de diferencias.</t>
        </is>
      </c>
      <c r="E29" s="6" t="inlineStr">
        <is>
          <t>Bloqueante</t>
        </is>
      </c>
      <c r="F29" s="5" t="inlineStr">
        <is>
          <t>Equipo Systems</t>
        </is>
      </c>
      <c r="G29" s="5" t="inlineStr">
        <is>
          <t>docs/EVIDENCIAS_TNR_RCS.docx</t>
        </is>
      </c>
      <c r="H29" s="6" t="inlineStr">
        <is>
          <t>No</t>
        </is>
      </c>
      <c r="I29" s="6" t="inlineStr">
        <is>
          <t>No</t>
        </is>
      </c>
      <c r="J29" s="6" t="inlineStr">
        <is>
          <t>No</t>
        </is>
      </c>
      <c r="K29" s="7">
        <f>0.5*IF(H29="Sí",1,IF(H29="Parcial",0.5,0))+0.3*IF(I29="Sí",1,IF(I29="Parcial",0.5,0))+0.2*IF(J29="Sí",1,IF(J29="Parcial",0.5,0))</f>
        <v/>
      </c>
      <c r="L29" s="6">
        <f>IF(K29&gt;=1,"Cerrado",IF(K29&gt;=0.65,"Avanzado",IF(K29&gt;=0.25,"En curso","Pendiente")))</f>
        <v/>
      </c>
      <c r="M29" s="5" t="inlineStr">
        <is>
          <t>CSV diario a Tantia; el RPA aplica idempotencia por llave. Devolución registrada y plazo comunicado al cliente (T01f).</t>
        </is>
      </c>
      <c r="N29" s="5" t="inlineStr">
        <is>
          <t>T01f</t>
        </is>
      </c>
      <c r="O29" s="5" t="inlineStr">
        <is>
          <t>Reconciliación entre solicitadas, ejecutadas y rechazadas.</t>
        </is>
      </c>
      <c r="P29" s="5" t="inlineStr">
        <is>
          <t>Systems, Diego, Fabián</t>
        </is>
      </c>
      <c r="Q29" s="5" t="inlineStr">
        <is>
          <t>docs/EVIDENCIAS_TNR_RCS.docx</t>
        </is>
      </c>
    </row>
  </sheetData>
  <autoFilter ref="A1:Q29"/>
  <conditionalFormatting sqref="K2:K29">
    <cfRule type="colorScale" priority="1">
      <colorScale>
        <cfvo type="num" val="0"/>
        <cfvo type="num" val="0.5"/>
        <cfvo type="num" val="1"/>
        <color rgb="00F4C7C3"/>
        <color rgb="00FCE8B2"/>
        <color rgb="00B7E1CD"/>
      </colorScale>
    </cfRule>
  </conditionalFormatting>
  <conditionalFormatting sqref="L2:L29">
    <cfRule type="expression" priority="2" dxfId="0">
      <formula>$L2="Cerrado"</formula>
    </cfRule>
    <cfRule type="expression" priority="3" dxfId="1">
      <formula>$L2="Avanzado"</formula>
    </cfRule>
    <cfRule type="expression" priority="4" dxfId="2">
      <formula>$L2="En curso"</formula>
    </cfRule>
    <cfRule type="expression" priority="5" dxfId="3">
      <formula>$L2="Pendiente"</formula>
    </cfRule>
  </conditionalFormatting>
  <conditionalFormatting sqref="H2:J29">
    <cfRule type="expression" priority="6" dxfId="1">
      <formula>H2="Sí"</formula>
    </cfRule>
    <cfRule type="expression" priority="7" dxfId="2">
      <formula>H2="Parcial"</formula>
    </cfRule>
    <cfRule type="expression" priority="8" dxfId="3">
      <formula>H2="No"</formula>
    </cfRule>
  </conditionalFormatting>
  <dataValidations count="1">
    <dataValidation sqref="H2:J29" showDropDown="0" showInputMessage="0" showErrorMessage="0" allowBlank="0" errorTitle="Valor no válido" error="Usa Sí, Parcial o No" type="list">
      <formula1>"Sí,Parcial,No"</formula1>
    </dataValidation>
  </dataValidations>
  <hyperlinks>
    <hyperlink xmlns:r="http://schemas.openxmlformats.org/officeDocument/2006/relationships" ref="G13" r:id="rId1"/>
    <hyperlink xmlns:r="http://schemas.openxmlformats.org/officeDocument/2006/relationships" ref="G22" r:id="rId2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22" customWidth="1" min="4" max="4"/>
    <col width="14" customWidth="1" min="5" max="5"/>
    <col width="15" customWidth="1" min="6" max="6"/>
    <col width="30" customWidth="1" min="7" max="7"/>
  </cols>
  <sheetData>
    <row r="1">
      <c r="A1" s="4" t="inlineStr">
        <is>
          <t>#</t>
        </is>
      </c>
      <c r="B1" s="4" t="inlineStr">
        <is>
          <t>Pendiente</t>
        </is>
      </c>
      <c r="C1" s="4" t="inlineStr">
        <is>
          <t>Controles</t>
        </is>
      </c>
      <c r="D1" s="4" t="inlineStr">
        <is>
          <t>Responsable</t>
        </is>
      </c>
      <c r="E1" s="4" t="inlineStr">
        <is>
          <t>Tipo</t>
        </is>
      </c>
      <c r="F1" s="4" t="inlineStr">
        <is>
          <t>Fecha objetivo</t>
        </is>
      </c>
      <c r="G1" s="4" t="inlineStr">
        <is>
          <t>Notas</t>
        </is>
      </c>
    </row>
    <row r="2" ht="32" customHeight="1">
      <c r="A2" s="6" t="n">
        <v>1</v>
      </c>
      <c r="B2" s="5" t="inlineStr">
        <is>
          <t>Firmar el plan de pruebas y fijar los umbrales</t>
        </is>
      </c>
      <c r="C2" s="5" t="inlineStr">
        <is>
          <t>IT1.1, IT1.5</t>
        </is>
      </c>
      <c r="D2" s="5" t="inlineStr">
        <is>
          <t>Fabián y negocio</t>
        </is>
      </c>
      <c r="E2" s="5" t="inlineStr">
        <is>
          <t>Decisión</t>
        </is>
      </c>
      <c r="F2" s="5" t="n"/>
      <c r="G2" s="5" t="n"/>
    </row>
    <row r="3" ht="32" customHeight="1">
      <c r="A3" s="6" t="n">
        <v>2</v>
      </c>
      <c r="B3" s="5" t="inlineStr">
        <is>
          <t>Aplicar el IaC en dev y reiniciar trx, back_data, doble cobro y Logstash</t>
        </is>
      </c>
      <c r="C3" s="5" t="inlineStr">
        <is>
          <t>IT1.6, IT2.3, IT3.6</t>
        </is>
      </c>
      <c r="D3" s="5" t="inlineStr">
        <is>
          <t>Pablo, Fabián</t>
        </is>
      </c>
      <c r="E3" s="5" t="inlineStr">
        <is>
          <t>Despliegue</t>
        </is>
      </c>
      <c r="F3" s="5" t="n"/>
      <c r="G3" s="5" t="n"/>
    </row>
    <row r="4" ht="32" customHeight="1">
      <c r="A4" s="6" t="n">
        <v>3</v>
      </c>
      <c r="B4" s="5" t="inlineStr">
        <is>
          <t>Construir las imágenes del agente y del benchmark v9</t>
        </is>
      </c>
      <c r="C4" s="5" t="inlineStr">
        <is>
          <t>IT1.3, IT1.4, IT2.3, IT2.7, IT4.3</t>
        </is>
      </c>
      <c r="D4" s="5" t="inlineStr">
        <is>
          <t>Pablo</t>
        </is>
      </c>
      <c r="E4" s="5" t="inlineStr">
        <is>
          <t>Construcción</t>
        </is>
      </c>
      <c r="F4" s="5" t="n"/>
      <c r="G4" s="5" t="inlineStr">
        <is>
          <t>Hecho 14/09: agente 1.0.15, benchmark v9.</t>
        </is>
      </c>
    </row>
    <row r="5" ht="32" customHeight="1">
      <c r="A5" s="6" t="n">
        <v>4</v>
      </c>
      <c r="B5" s="5" t="inlineStr">
        <is>
          <t>Construir las imágenes del error handler, trx, back_data, doble cobro y front</t>
        </is>
      </c>
      <c r="C5" s="5" t="inlineStr">
        <is>
          <t>IT3.2, IT3.6</t>
        </is>
      </c>
      <c r="D5" s="5" t="inlineStr">
        <is>
          <t>Pablo</t>
        </is>
      </c>
      <c r="E5" s="5" t="inlineStr">
        <is>
          <t>Construcción</t>
        </is>
      </c>
      <c r="F5" s="5" t="n"/>
      <c r="G5" s="5" t="inlineStr">
        <is>
          <t>Hecho 14/09: error handler v2, trx test_v1.0.9, back_data test_v1.0.6, doble cobro 1.0.2.</t>
        </is>
      </c>
    </row>
    <row r="6" ht="32" customHeight="1">
      <c r="A6" s="6" t="n">
        <v>5</v>
      </c>
      <c r="B6" s="5" t="inlineStr">
        <is>
          <t>Correr el benchmark contra dev con el modelo desplegado</t>
        </is>
      </c>
      <c r="C6" s="5" t="inlineStr">
        <is>
          <t>IT1.2, IT1.3, IT1.4, IT3.4, IT4.3</t>
        </is>
      </c>
      <c r="D6" s="5" t="inlineStr">
        <is>
          <t>Pablo</t>
        </is>
      </c>
      <c r="E6" s="5" t="inlineStr">
        <is>
          <t>Evidencia</t>
        </is>
      </c>
      <c r="F6" s="5" t="n"/>
      <c r="G6" s="5" t="inlineStr">
        <is>
          <t>Hecho 15/09 para TNR: 36 casos, 97,2 %. Pendiente el resto de bancos.</t>
        </is>
      </c>
    </row>
    <row r="7" ht="32" customHeight="1">
      <c r="A7" s="6" t="n">
        <v>6</v>
      </c>
      <c r="B7" s="5" t="inlineStr">
        <is>
          <t>Tomar las capturas E01–E26 en dev según la guía de captura</t>
        </is>
      </c>
      <c r="C7" s="5" t="inlineStr">
        <is>
          <t>Varios</t>
        </is>
      </c>
      <c r="D7" s="5" t="inlineStr">
        <is>
          <t>Pablo</t>
        </is>
      </c>
      <c r="E7" s="5" t="inlineStr">
        <is>
          <t>Evidencia</t>
        </is>
      </c>
      <c r="F7" s="5" t="n"/>
      <c r="G7" s="5" t="inlineStr">
        <is>
          <t>Hecho 15/09 para TNR: T01 a T12 capturadas (21 capturas, 33 evidencias).</t>
        </is>
      </c>
    </row>
    <row r="8" ht="32" customHeight="1">
      <c r="A8" s="6" t="n">
        <v>7</v>
      </c>
      <c r="B8" s="5" t="inlineStr">
        <is>
          <t>Fijar umbrales y destinatarios de las alertas</t>
        </is>
      </c>
      <c r="C8" s="5" t="inlineStr">
        <is>
          <t>IT2.3</t>
        </is>
      </c>
      <c r="D8" s="5" t="inlineStr">
        <is>
          <t>Fabián</t>
        </is>
      </c>
      <c r="E8" s="5" t="inlineStr">
        <is>
          <t>Decisión</t>
        </is>
      </c>
      <c r="F8" s="5" t="n"/>
      <c r="G8" s="5" t="n"/>
    </row>
    <row r="9" ht="32" customHeight="1">
      <c r="A9" s="6" t="n">
        <v>8</v>
      </c>
      <c r="B9" s="5" t="inlineStr">
        <is>
          <t>Encender el canario en dev</t>
        </is>
      </c>
      <c r="C9" s="5" t="inlineStr">
        <is>
          <t>IT2.7</t>
        </is>
      </c>
      <c r="D9" s="5" t="inlineStr">
        <is>
          <t>Fabián</t>
        </is>
      </c>
      <c r="E9" s="5" t="inlineStr">
        <is>
          <t>Decisión</t>
        </is>
      </c>
      <c r="F9" s="5" t="n"/>
      <c r="G9" s="5" t="n"/>
    </row>
    <row r="10" ht="32" customHeight="1">
      <c r="A10" s="6" t="n">
        <v>9</v>
      </c>
      <c r="B10" s="5" t="inlineStr">
        <is>
          <t>Depurar el histórico de audit-logs y rotar la API key de Azure y la clave del granting (H-08, H-09)</t>
        </is>
      </c>
      <c r="C10" s="5" t="inlineStr">
        <is>
          <t>IT1.5, IT3.6, IT3.7</t>
        </is>
      </c>
      <c r="D10" s="5" t="inlineStr">
        <is>
          <t>Fabián</t>
        </is>
      </c>
      <c r="E10" s="5" t="inlineStr">
        <is>
          <t>Operación</t>
        </is>
      </c>
      <c r="F10" s="5" t="n"/>
      <c r="G10" s="5" t="n"/>
    </row>
    <row r="11" ht="32" customHeight="1">
      <c r="A11" s="6" t="n">
        <v>10</v>
      </c>
      <c r="B11" s="5" t="inlineStr">
        <is>
          <t>Unificar el procedimiento de gobierno en formato banco, con nombres y ANS</t>
        </is>
      </c>
      <c r="C11" s="5" t="inlineStr">
        <is>
          <t>IT2.1</t>
        </is>
      </c>
      <c r="D11" s="5" t="inlineStr">
        <is>
          <t>Fabián, Pablo</t>
        </is>
      </c>
      <c r="E11" s="5" t="inlineStr">
        <is>
          <t>Documento</t>
        </is>
      </c>
      <c r="F11" s="5" t="n"/>
      <c r="G11" s="5" t="n"/>
    </row>
    <row r="12" ht="32" customHeight="1">
      <c r="A12" s="6" t="n">
        <v>11</v>
      </c>
      <c r="B12" s="5" t="inlineStr">
        <is>
          <t>Tabla de retención por almacén</t>
        </is>
      </c>
      <c r="C12" s="5" t="inlineStr">
        <is>
          <t>IT3.1</t>
        </is>
      </c>
      <c r="D12" s="5" t="inlineStr">
        <is>
          <t>Pablo, Fabián</t>
        </is>
      </c>
      <c r="E12" s="5" t="inlineStr">
        <is>
          <t>Documento</t>
        </is>
      </c>
      <c r="F12" s="5" t="n"/>
      <c r="G12" s="5" t="n"/>
    </row>
    <row r="13" ht="32" customHeight="1">
      <c r="A13" s="6" t="n">
        <v>12</v>
      </c>
      <c r="B13" s="5" t="inlineStr">
        <is>
          <t>Autenticación del llamador en la API del agente (H-14)</t>
        </is>
      </c>
      <c r="C13" s="5" t="inlineStr">
        <is>
          <t>IT3.3</t>
        </is>
      </c>
      <c r="D13" s="5" t="inlineStr">
        <is>
          <t>Fabián</t>
        </is>
      </c>
      <c r="E13" s="5" t="inlineStr">
        <is>
          <t>Construcción</t>
        </is>
      </c>
      <c r="F13" s="5" t="n"/>
      <c r="G13" s="5" t="n"/>
    </row>
    <row r="14" ht="32" customHeight="1">
      <c r="A14" s="6" t="n">
        <v>13</v>
      </c>
      <c r="B14" s="5" t="inlineStr">
        <is>
          <t>Alinear el hook de doble cobro con el export de Tantia (H-06) y diseñar la reconciliación (H-15)</t>
        </is>
      </c>
      <c r="C14" s="5" t="inlineStr">
        <is>
          <t>IT1.5, IT4.8</t>
        </is>
      </c>
      <c r="D14" s="5" t="inlineStr">
        <is>
          <t>Diego, Fabián, Systems</t>
        </is>
      </c>
      <c r="E14" s="5" t="inlineStr">
        <is>
          <t>Construcción</t>
        </is>
      </c>
      <c r="F14" s="5" t="n"/>
      <c r="G14" s="5" t="n"/>
    </row>
    <row r="15" ht="32" customHeight="1">
      <c r="A15" s="6" t="n">
        <v>14</v>
      </c>
      <c r="B15" s="5" t="inlineStr">
        <is>
          <t>Parametrización antifraude aprobada y tope por suma diaria (H-16)</t>
        </is>
      </c>
      <c r="C15" s="5" t="inlineStr">
        <is>
          <t>IT4.6</t>
        </is>
      </c>
      <c r="D15" s="5" t="inlineStr">
        <is>
          <t>Systems, Fabián</t>
        </is>
      </c>
      <c r="E15" s="5" t="inlineStr">
        <is>
          <t>Decisión</t>
        </is>
      </c>
      <c r="F15" s="5" t="n"/>
      <c r="G15" s="5" t="n"/>
    </row>
    <row r="16" ht="32" customHeight="1">
      <c r="A16" s="6" t="n">
        <v>15</v>
      </c>
      <c r="B16" s="5" t="inlineStr">
        <is>
          <t>Saludo a personas jurídicas: usar la plantilla sin nombre (H-12)</t>
        </is>
      </c>
      <c r="C16" s="5" t="inlineStr">
        <is>
          <t>IT1.3</t>
        </is>
      </c>
      <c r="D16" s="5" t="inlineStr">
        <is>
          <t>Fabián (producto)</t>
        </is>
      </c>
      <c r="E16" s="5" t="inlineStr">
        <is>
          <t>Decisión</t>
        </is>
      </c>
      <c r="F16" s="5" t="n"/>
      <c r="G16" s="5" t="inlineStr">
        <is>
          <t>Acreditado 15/09 (T02c): saludo genérico con persona jurídica.</t>
        </is>
      </c>
    </row>
    <row r="17" ht="32" customHeight="1">
      <c r="A17" s="6" t="n">
        <v>16</v>
      </c>
      <c r="B17" s="5" t="inlineStr">
        <is>
          <t>Confirmar si la devolución solo debe llegar tras el bloqueo definitivo (H-13)</t>
        </is>
      </c>
      <c r="C17" s="5" t="inlineStr">
        <is>
          <t>IT4.2, IT4.3</t>
        </is>
      </c>
      <c r="D17" s="5" t="inlineStr">
        <is>
          <t>Diego</t>
        </is>
      </c>
      <c r="E17" s="5" t="inlineStr">
        <is>
          <t>Decisión</t>
        </is>
      </c>
      <c r="F17" s="5" t="n"/>
      <c r="G17" s="5" t="n"/>
    </row>
    <row r="18" ht="32" customHeight="1">
      <c r="A18" s="6" t="n">
        <v>17</v>
      </c>
      <c r="B18" s="5" t="inlineStr">
        <is>
          <t>Actualizar la arquitectura E2E con analítica y autorización</t>
        </is>
      </c>
      <c r="C18" s="5" t="inlineStr">
        <is>
          <t>IT4.1</t>
        </is>
      </c>
      <c r="D18" s="5" t="inlineStr">
        <is>
          <t>Fabián</t>
        </is>
      </c>
      <c r="E18" s="5" t="inlineStr">
        <is>
          <t>Documento</t>
        </is>
      </c>
      <c r="F18" s="5" t="n"/>
      <c r="G18" s="5" t="n"/>
    </row>
    <row r="19" ht="32" customHeight="1">
      <c r="A19" s="6" t="n">
        <v>18</v>
      </c>
      <c r="B19" s="5" t="inlineStr">
        <is>
          <t>Cerrar el documento de contingencia</t>
        </is>
      </c>
      <c r="C19" s="5" t="inlineStr">
        <is>
          <t>IT2.6</t>
        </is>
      </c>
      <c r="D19" s="5" t="inlineStr">
        <is>
          <t>Fabián</t>
        </is>
      </c>
      <c r="E19" s="5" t="inlineStr">
        <is>
          <t>Documento</t>
        </is>
      </c>
      <c r="F19" s="5" t="n"/>
      <c r="G19" s="5" t="n"/>
    </row>
    <row r="20">
      <c r="A20" t="inlineStr">
        <is>
          <t>19</t>
        </is>
      </c>
      <c r="B20" t="inlineStr">
        <is>
          <t>Determinar por qué la autorización del bloqueo falló antes de pedirse el 15/09 (H-26)</t>
        </is>
      </c>
      <c r="C20" t="inlineStr">
        <is>
          <t>IT4.5, IT4.4</t>
        </is>
      </c>
      <c r="D20" t="inlineStr">
        <is>
          <t>Equipo técnico</t>
        </is>
      </c>
      <c r="E20" t="inlineStr">
        <is>
          <t>Operación</t>
        </is>
      </c>
      <c r="G20" t="inlineStr">
        <is>
          <t>Registro del pod del trámite 07:55–07:59.</t>
        </is>
      </c>
    </row>
    <row r="21">
      <c r="A21" t="inlineStr">
        <is>
          <t>20</t>
        </is>
      </c>
      <c r="B21" t="inlineStr">
        <is>
          <t>Localizar la traza del rechazo de la inyección y corregir su guardado (H-25)</t>
        </is>
      </c>
      <c r="C21" t="inlineStr">
        <is>
          <t>IT3.5, IT4.7</t>
        </is>
      </c>
      <c r="D21" t="inlineStr">
        <is>
          <t>Equipo técnico</t>
        </is>
      </c>
      <c r="E21" t="inlineStr">
        <is>
          <t>Construcción</t>
        </is>
      </c>
      <c r="G21" t="inlineStr">
        <is>
          <t>Carpeta no-conversation.</t>
        </is>
      </c>
    </row>
    <row r="22">
      <c r="A22" t="inlineStr">
        <is>
          <t>21</t>
        </is>
      </c>
      <c r="B22" t="inlineStr">
        <is>
          <t>Corregir los mensajes de rechazo: sin identificadores internos y repitiendo la pregunta pendiente (H-23, H-24)</t>
        </is>
      </c>
      <c r="C22" t="inlineStr">
        <is>
          <t>IT4.3</t>
        </is>
      </c>
      <c r="D22" t="inlineStr">
        <is>
          <t>Equipo PQRS</t>
        </is>
      </c>
      <c r="E22" t="inlineStr">
        <is>
          <t>Construcción</t>
        </is>
      </c>
    </row>
    <row r="23">
      <c r="A23" t="inlineStr">
        <is>
          <t>22</t>
        </is>
      </c>
      <c r="B23" t="inlineStr">
        <is>
          <t>Cargar las fichas de identidad de los clientes de prueba en la fuente oficial (H-19, H-20, H-22)</t>
        </is>
      </c>
      <c r="C23" t="inlineStr">
        <is>
          <t>IT1.3, IT4.4</t>
        </is>
      </c>
      <c r="D23" t="inlineStr">
        <is>
          <t>Equipo Data</t>
        </is>
      </c>
      <c r="E23" t="inlineStr">
        <is>
          <t>Datos</t>
        </is>
      </c>
    </row>
    <row r="24">
      <c r="A24" t="inlineStr">
        <is>
          <t>23</t>
        </is>
      </c>
      <c r="B24" t="inlineStr">
        <is>
          <t>Repetir T02a con fichas cargadas y T12 con 1013634958 y fuente de Salesforce ajustada</t>
        </is>
      </c>
      <c r="C24" t="inlineStr">
        <is>
          <t>IT1.3, IT4.4</t>
        </is>
      </c>
      <c r="D24" t="inlineStr">
        <is>
          <t>Pablo</t>
        </is>
      </c>
      <c r="E24" t="inlineStr">
        <is>
          <t>Evidencia</t>
        </is>
      </c>
    </row>
    <row r="25">
      <c r="A25" t="inlineStr">
        <is>
          <t>24</t>
        </is>
      </c>
      <c r="B25" t="inlineStr">
        <is>
          <t>Fijar MAX_TRX_BOT_RECURRENCE=3 en DEV, QA y PRD (H-27)</t>
        </is>
      </c>
      <c r="C25" t="inlineStr">
        <is>
          <t>IT4.6</t>
        </is>
      </c>
      <c r="D25" t="inlineStr">
        <is>
          <t>Equipo técnico, Systems</t>
        </is>
      </c>
      <c r="E25" t="inlineStr">
        <is>
          <t>Configuración</t>
        </is>
      </c>
    </row>
    <row r="26">
      <c r="A26" t="inlineStr">
        <is>
          <t>25</t>
        </is>
      </c>
      <c r="B26" t="inlineStr">
        <is>
          <t>Decidir si «3 solicitudes en 6 meses» convive con «no duplicar caso abierto» en Salesforce (H-28)</t>
        </is>
      </c>
      <c r="C26" t="inlineStr">
        <is>
          <t>IT4.6</t>
        </is>
      </c>
      <c r="D26" t="inlineStr">
        <is>
          <t>Systems, Fabián</t>
        </is>
      </c>
      <c r="E26" t="inlineStr">
        <is>
          <t>Decisión</t>
        </is>
      </c>
    </row>
    <row r="27">
      <c r="A27" t="inlineStr">
        <is>
          <t>26</t>
        </is>
      </c>
      <c r="B27" t="inlineStr">
        <is>
          <t>Retirar el evaluador de respaldo con comparaciones invertidas y la regla individual con literales (H-29)</t>
        </is>
      </c>
      <c r="C27" t="inlineStr">
        <is>
          <t>IT4.6</t>
        </is>
      </c>
      <c r="D27" t="inlineStr">
        <is>
          <t>Equipo técnico</t>
        </is>
      </c>
      <c r="E27" t="inlineStr">
        <is>
          <t>Construcción</t>
        </is>
      </c>
    </row>
    <row r="28">
      <c r="A28" t="inlineStr">
        <is>
          <t>27</t>
        </is>
      </c>
      <c r="B28" t="inlineStr">
        <is>
          <t>Desplegar el agente con la marca del banco corregida y las reglas de ruteo; repetir corridas adversarial y de fidelidad (H-30, H-31, H-32)</t>
        </is>
      </c>
      <c r="C28" t="inlineStr">
        <is>
          <t>IT1.3, IT1.4, IT3.4</t>
        </is>
      </c>
      <c r="D28" t="inlineStr">
        <is>
          <t>Pablo</t>
        </is>
      </c>
      <c r="E28" t="inlineStr">
        <is>
          <t>Evidencia</t>
        </is>
      </c>
      <c r="G28" t="inlineStr"/>
    </row>
    <row r="29">
      <c r="A29" t="inlineStr">
        <is>
          <t>28</t>
        </is>
      </c>
      <c r="B29" t="inlineStr">
        <is>
          <t>Aplicar el manifiesto del trabajo nocturno del banco de casos (H-33)</t>
        </is>
      </c>
      <c r="C29" t="inlineStr">
        <is>
          <t>IT2.7</t>
        </is>
      </c>
      <c r="D29" t="inlineStr">
        <is>
          <t>Fabián</t>
        </is>
      </c>
      <c r="E29" t="inlineStr">
        <is>
          <t>Despliegue</t>
        </is>
      </c>
      <c r="G29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Cómo se calcula el avance</t>
        </is>
      </c>
    </row>
    <row r="2">
      <c r="A2" s="14" t="inlineStr">
        <is>
          <t>Cada control tiene tres componentes, con valor Sí (1), Parcial (0,5) o No (0):</t>
        </is>
      </c>
    </row>
    <row r="3">
      <c r="A3" s="14" t="inlineStr">
        <is>
          <t>• Construido, 50 %: el mecanismo, dataset, prueba o documento existe en el repositorio (rama feature/PQRSdev desde el 11/09).</t>
        </is>
      </c>
    </row>
    <row r="4">
      <c r="A4" s="14" t="inlineStr">
        <is>
          <t>• Evidencia, 30 %: hay evidencia tomada. Sí = evidencia completa (documento publicado o tests en verde cuando eso es lo exigido); Parcial = evidencia local o en contingencia, o faltan capturas en dev; No = sin evidencia.</t>
        </is>
      </c>
    </row>
    <row r="5">
      <c r="A5" s="14" t="inlineStr">
        <is>
          <t>• Aprobación, 20 %: el responsable lo firmó, fijó el valor o cerró el retest.</t>
        </is>
      </c>
    </row>
    <row r="6">
      <c r="A6" s="14" t="inlineStr">
        <is>
          <t>% avance = 0,5 × Construido + 0,3 × Evidencia + 0,2 × Aprobación. Los desplegables de la hoja «Avance por control» recalculan el porcentaje y el estado.</t>
        </is>
      </c>
    </row>
    <row r="7">
      <c r="A7" s="14" t="inlineStr"/>
    </row>
    <row r="8">
      <c r="A8" s="13" t="inlineStr">
        <is>
          <t>Estados</t>
        </is>
      </c>
    </row>
    <row r="9">
      <c r="A9" s="14" t="inlineStr">
        <is>
          <t>Cerrado = 100 % · Avanzado ≥ 65 % · En curso ≥ 25 % · Pendiente &lt; 25 %.</t>
        </is>
      </c>
    </row>
    <row r="10">
      <c r="A10" s="14" t="inlineStr"/>
    </row>
    <row r="11">
      <c r="A11" s="13" t="inlineStr">
        <is>
          <t>Fuentes</t>
        </is>
      </c>
    </row>
    <row r="12">
      <c r="A12" s="14" t="inlineStr">
        <is>
          <t>Columnas A a G: copia literal de «Tareas - Documento Caro - Hoja 1» (RCS); se conserva el encabezado original «Reponsable».</t>
        </is>
      </c>
    </row>
    <row r="13">
      <c r="A13" s="14" t="inlineStr">
        <is>
          <t>Columnas H a Q: estado al 15/09/2026 según el repositorio y la matriz de evidencias (docs/MATRIZ_EVIDENCIAS_RCS.md).</t>
        </is>
      </c>
    </row>
    <row r="14">
      <c r="A14" s="14" t="inlineStr">
        <is>
          <t>Evidencias E00–E26: capturas definidas en la guía de captura de esa matriz.</t>
        </is>
      </c>
    </row>
    <row r="15">
      <c r="A15" s="14" t="inlineStr">
        <is>
          <t>Informe técnico v1.0.0 en Drive: https://docs.google.com/document/d/1cL_7GRNbq_t2up2rP0Gor5tm10JOZA3rwnSmN8kaHQw/edit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2026-09-11T15:05:22Z</dcterms:created>
  <dcterms:modified xsi:type="dcterms:W3CDTF">2026-09-15T19:22:31Z</dcterms:modified>
</cp:coreProperties>
</file>